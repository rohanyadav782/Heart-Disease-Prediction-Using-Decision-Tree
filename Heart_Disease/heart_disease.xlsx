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788\Desktop\Python\Data Science\Decision_tree\Projects\1.Heart_Disease\"/>
    </mc:Choice>
  </mc:AlternateContent>
  <xr:revisionPtr revIDLastSave="0" documentId="13_ncr:1_{EA4B5DF4-7733-4B2F-A197-E6C621B6ABAB}" xr6:coauthVersionLast="36" xr6:coauthVersionMax="36" xr10:uidLastSave="{00000000-0000-0000-0000-000000000000}"/>
  <bookViews>
    <workbookView xWindow="0" yWindow="0" windowWidth="23040" windowHeight="9060" tabRatio="682" activeTab="7" xr2:uid="{00000000-000D-0000-FFFF-FFFF00000000}"/>
  </bookViews>
  <sheets>
    <sheet name="main_file" sheetId="1" r:id="rId1"/>
    <sheet name="pivot_Table" sheetId="2" r:id="rId2"/>
    <sheet name="weight_of_evidence" sheetId="4" r:id="rId3"/>
    <sheet name="Confusion_Matrix" sheetId="5" r:id="rId4"/>
    <sheet name="important_feature" sheetId="8" r:id="rId5"/>
    <sheet name="model_iteration" sheetId="9" r:id="rId6"/>
    <sheet name="correlation" sheetId="10" r:id="rId7"/>
    <sheet name="project_report" sheetId="11" r:id="rId8"/>
  </sheets>
  <definedNames>
    <definedName name="_xlnm._FilterDatabase" localSheetId="0" hidden="1">main_file!$A$1:$AG$304</definedName>
  </definedNames>
  <calcPr calcId="191029"/>
  <pivotCaches>
    <pivotCache cacheId="0" r:id="rId9"/>
    <pivotCache cacheId="1" r:id="rId10"/>
    <pivotCache cacheId="2" r:id="rId11"/>
  </pivotCaches>
</workbook>
</file>

<file path=xl/calcChain.xml><?xml version="1.0" encoding="utf-8"?>
<calcChain xmlns="http://schemas.openxmlformats.org/spreadsheetml/2006/main">
  <c r="L4" i="5" l="1"/>
  <c r="I154" i="2" l="1"/>
  <c r="I150" i="2"/>
  <c r="I151" i="2"/>
  <c r="I152" i="2"/>
  <c r="I149" i="2"/>
  <c r="H150" i="2"/>
  <c r="H151" i="2"/>
  <c r="H152" i="2"/>
  <c r="H149" i="2"/>
  <c r="G150" i="2"/>
  <c r="G151" i="2"/>
  <c r="G152" i="2"/>
  <c r="G149" i="2"/>
  <c r="F150" i="2"/>
  <c r="F151" i="2"/>
  <c r="F152" i="2"/>
  <c r="F149" i="2"/>
  <c r="I72" i="2"/>
  <c r="I73" i="2"/>
  <c r="I74" i="2"/>
  <c r="I75" i="2"/>
  <c r="I71" i="2"/>
  <c r="H72" i="2"/>
  <c r="H73" i="2"/>
  <c r="H74" i="2"/>
  <c r="H75" i="2"/>
  <c r="H71" i="2"/>
  <c r="G75" i="2"/>
  <c r="G72" i="2"/>
  <c r="G73" i="2"/>
  <c r="G74" i="2"/>
  <c r="G71" i="2"/>
  <c r="F72" i="2"/>
  <c r="F73" i="2"/>
  <c r="F74" i="2"/>
  <c r="F75" i="2"/>
  <c r="F71" i="2"/>
  <c r="I77" i="2" l="1"/>
  <c r="I4" i="2"/>
  <c r="H4" i="2"/>
  <c r="G4" i="2"/>
  <c r="F4" i="2"/>
  <c r="L8" i="5" l="1"/>
  <c r="L6" i="5"/>
  <c r="L10" i="5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2" i="1"/>
  <c r="C3" i="1"/>
  <c r="C4" i="1"/>
  <c r="C5" i="1"/>
  <c r="C6" i="1"/>
  <c r="D6" i="1" s="1"/>
  <c r="C7" i="1"/>
  <c r="C8" i="1"/>
  <c r="C9" i="1"/>
  <c r="C10" i="1"/>
  <c r="D10" i="1" s="1"/>
  <c r="C11" i="1"/>
  <c r="D11" i="1" s="1"/>
  <c r="C12" i="1"/>
  <c r="C13" i="1"/>
  <c r="C14" i="1"/>
  <c r="D14" i="1" s="1"/>
  <c r="C15" i="1"/>
  <c r="C16" i="1"/>
  <c r="C17" i="1"/>
  <c r="C18" i="1"/>
  <c r="D18" i="1" s="1"/>
  <c r="C19" i="1"/>
  <c r="C20" i="1"/>
  <c r="C21" i="1"/>
  <c r="C22" i="1"/>
  <c r="D22" i="1" s="1"/>
  <c r="C23" i="1"/>
  <c r="C24" i="1"/>
  <c r="C25" i="1"/>
  <c r="C26" i="1"/>
  <c r="D26" i="1" s="1"/>
  <c r="C27" i="1"/>
  <c r="D27" i="1" s="1"/>
  <c r="C28" i="1"/>
  <c r="C29" i="1"/>
  <c r="C30" i="1"/>
  <c r="D30" i="1" s="1"/>
  <c r="C31" i="1"/>
  <c r="C32" i="1"/>
  <c r="D32" i="1" s="1"/>
  <c r="C33" i="1"/>
  <c r="C34" i="1"/>
  <c r="D34" i="1" s="1"/>
  <c r="C35" i="1"/>
  <c r="C36" i="1"/>
  <c r="C37" i="1"/>
  <c r="C38" i="1"/>
  <c r="D38" i="1" s="1"/>
  <c r="C39" i="1"/>
  <c r="C40" i="1"/>
  <c r="C41" i="1"/>
  <c r="C42" i="1"/>
  <c r="D42" i="1" s="1"/>
  <c r="C43" i="1"/>
  <c r="C44" i="1"/>
  <c r="C45" i="1"/>
  <c r="C46" i="1"/>
  <c r="D46" i="1" s="1"/>
  <c r="C47" i="1"/>
  <c r="C48" i="1"/>
  <c r="C49" i="1"/>
  <c r="C50" i="1"/>
  <c r="D50" i="1" s="1"/>
  <c r="C51" i="1"/>
  <c r="C52" i="1"/>
  <c r="C53" i="1"/>
  <c r="C54" i="1"/>
  <c r="D54" i="1" s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D75" i="1" s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D91" i="1" s="1"/>
  <c r="C92" i="1"/>
  <c r="C93" i="1"/>
  <c r="C94" i="1"/>
  <c r="C95" i="1"/>
  <c r="C96" i="1"/>
  <c r="D96" i="1" s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D139" i="1" s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D155" i="1" s="1"/>
  <c r="C156" i="1"/>
  <c r="C157" i="1"/>
  <c r="C158" i="1"/>
  <c r="C159" i="1"/>
  <c r="C160" i="1"/>
  <c r="D160" i="1" s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D203" i="1" s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D219" i="1" s="1"/>
  <c r="C220" i="1"/>
  <c r="C221" i="1"/>
  <c r="C222" i="1"/>
  <c r="C223" i="1"/>
  <c r="C224" i="1"/>
  <c r="D224" i="1" s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D267" i="1" s="1"/>
  <c r="C268" i="1"/>
  <c r="C269" i="1"/>
  <c r="C270" i="1"/>
  <c r="C271" i="1"/>
  <c r="C272" i="1"/>
  <c r="C273" i="1"/>
  <c r="C274" i="1"/>
  <c r="C275" i="1"/>
  <c r="C276" i="1"/>
  <c r="C277" i="1"/>
  <c r="C278" i="1"/>
  <c r="C279" i="1"/>
  <c r="D279" i="1" s="1"/>
  <c r="C280" i="1"/>
  <c r="C281" i="1"/>
  <c r="C282" i="1"/>
  <c r="C283" i="1"/>
  <c r="D283" i="1" s="1"/>
  <c r="C284" i="1"/>
  <c r="C285" i="1"/>
  <c r="C286" i="1"/>
  <c r="C287" i="1"/>
  <c r="C288" i="1"/>
  <c r="C289" i="1"/>
  <c r="C290" i="1"/>
  <c r="C291" i="1"/>
  <c r="C292" i="1"/>
  <c r="C293" i="1"/>
  <c r="C294" i="1"/>
  <c r="C295" i="1"/>
  <c r="D295" i="1" s="1"/>
  <c r="C296" i="1"/>
  <c r="C297" i="1"/>
  <c r="C298" i="1"/>
  <c r="D298" i="1" s="1"/>
  <c r="C299" i="1"/>
  <c r="C300" i="1"/>
  <c r="C301" i="1"/>
  <c r="C302" i="1"/>
  <c r="D302" i="1" s="1"/>
  <c r="C303" i="1"/>
  <c r="D303" i="1" s="1"/>
  <c r="C304" i="1"/>
  <c r="C2" i="1"/>
  <c r="G200" i="2"/>
  <c r="F200" i="2"/>
  <c r="G183" i="2"/>
  <c r="F183" i="2"/>
  <c r="H183" i="2" s="1"/>
  <c r="I183" i="2" s="1"/>
  <c r="H166" i="2"/>
  <c r="I166" i="2" s="1"/>
  <c r="G166" i="2"/>
  <c r="F166" i="2"/>
  <c r="G135" i="2"/>
  <c r="G134" i="2"/>
  <c r="F135" i="2"/>
  <c r="F134" i="2"/>
  <c r="G117" i="2"/>
  <c r="G118" i="2"/>
  <c r="G119" i="2"/>
  <c r="G120" i="2"/>
  <c r="G116" i="2"/>
  <c r="F117" i="2"/>
  <c r="H117" i="2" s="1"/>
  <c r="I117" i="2" s="1"/>
  <c r="F118" i="2"/>
  <c r="F119" i="2"/>
  <c r="H119" i="2" s="1"/>
  <c r="I119" i="2" s="1"/>
  <c r="F120" i="2"/>
  <c r="F116" i="2"/>
  <c r="G100" i="2"/>
  <c r="G101" i="2"/>
  <c r="H101" i="2" s="1"/>
  <c r="I101" i="2" s="1"/>
  <c r="G99" i="2"/>
  <c r="F100" i="2"/>
  <c r="H100" i="2" s="1"/>
  <c r="I100" i="2" s="1"/>
  <c r="F101" i="2"/>
  <c r="F99" i="2"/>
  <c r="H99" i="2" s="1"/>
  <c r="I99" i="2" s="1"/>
  <c r="G89" i="2"/>
  <c r="G88" i="2"/>
  <c r="F89" i="2"/>
  <c r="H89" i="2" s="1"/>
  <c r="I89" i="2" s="1"/>
  <c r="F88" i="2"/>
  <c r="H88" i="2" s="1"/>
  <c r="I88" i="2" s="1"/>
  <c r="I91" i="2" s="1"/>
  <c r="G56" i="2"/>
  <c r="F56" i="2"/>
  <c r="G40" i="2"/>
  <c r="F40" i="2"/>
  <c r="H40" i="2" s="1"/>
  <c r="I40" i="2" s="1"/>
  <c r="G21" i="2"/>
  <c r="F21" i="2"/>
  <c r="G5" i="2"/>
  <c r="G6" i="2"/>
  <c r="G7" i="2"/>
  <c r="G8" i="2"/>
  <c r="F5" i="2"/>
  <c r="H5" i="2" s="1"/>
  <c r="I5" i="2" s="1"/>
  <c r="F6" i="2"/>
  <c r="F7" i="2"/>
  <c r="H7" i="2" s="1"/>
  <c r="I7" i="2" s="1"/>
  <c r="F8" i="2"/>
  <c r="H8" i="2" s="1"/>
  <c r="I8" i="2" s="1"/>
  <c r="G202" i="2"/>
  <c r="F202" i="2"/>
  <c r="H202" i="2" s="1"/>
  <c r="I202" i="2" s="1"/>
  <c r="G201" i="2"/>
  <c r="F201" i="2"/>
  <c r="F186" i="2"/>
  <c r="G186" i="2"/>
  <c r="G185" i="2"/>
  <c r="F185" i="2"/>
  <c r="G184" i="2"/>
  <c r="F184" i="2"/>
  <c r="H184" i="2" s="1"/>
  <c r="I184" i="2" s="1"/>
  <c r="G168" i="2"/>
  <c r="F168" i="2"/>
  <c r="G167" i="2"/>
  <c r="F167" i="2"/>
  <c r="H167" i="2" s="1"/>
  <c r="I167" i="2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2" i="1"/>
  <c r="Z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2" i="1"/>
  <c r="N2" i="1" s="1"/>
  <c r="G59" i="2"/>
  <c r="F59" i="2"/>
  <c r="G58" i="2"/>
  <c r="F58" i="2"/>
  <c r="G57" i="2"/>
  <c r="F57" i="2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2" i="1"/>
  <c r="K2" i="1" s="1"/>
  <c r="G43" i="2"/>
  <c r="F43" i="2"/>
  <c r="G42" i="2"/>
  <c r="F42" i="2"/>
  <c r="G41" i="2"/>
  <c r="F41" i="2"/>
  <c r="G22" i="2"/>
  <c r="F22" i="2"/>
  <c r="H120" i="2" l="1"/>
  <c r="I120" i="2" s="1"/>
  <c r="H116" i="2"/>
  <c r="I116" i="2" s="1"/>
  <c r="H6" i="2"/>
  <c r="I6" i="2" s="1"/>
  <c r="H118" i="2"/>
  <c r="I118" i="2" s="1"/>
  <c r="H134" i="2"/>
  <c r="I134" i="2" s="1"/>
  <c r="I103" i="2"/>
  <c r="H57" i="2"/>
  <c r="I57" i="2" s="1"/>
  <c r="H59" i="2"/>
  <c r="I59" i="2" s="1"/>
  <c r="H168" i="2"/>
  <c r="I168" i="2" s="1"/>
  <c r="I170" i="2" s="1"/>
  <c r="H185" i="2"/>
  <c r="I185" i="2" s="1"/>
  <c r="H201" i="2"/>
  <c r="I201" i="2" s="1"/>
  <c r="H21" i="2"/>
  <c r="I21" i="2" s="1"/>
  <c r="H56" i="2"/>
  <c r="I56" i="2" s="1"/>
  <c r="H135" i="2"/>
  <c r="I135" i="2" s="1"/>
  <c r="H200" i="2"/>
  <c r="I200" i="2" s="1"/>
  <c r="I204" i="2" s="1"/>
  <c r="D2" i="1"/>
  <c r="D301" i="1"/>
  <c r="D297" i="1"/>
  <c r="D293" i="1"/>
  <c r="D289" i="1"/>
  <c r="D285" i="1"/>
  <c r="D281" i="1"/>
  <c r="D277" i="1"/>
  <c r="D273" i="1"/>
  <c r="D269" i="1"/>
  <c r="D265" i="1"/>
  <c r="D261" i="1"/>
  <c r="D257" i="1"/>
  <c r="D253" i="1"/>
  <c r="D249" i="1"/>
  <c r="D245" i="1"/>
  <c r="D241" i="1"/>
  <c r="D237" i="1"/>
  <c r="D233" i="1"/>
  <c r="D229" i="1"/>
  <c r="D225" i="1"/>
  <c r="D221" i="1"/>
  <c r="D217" i="1"/>
  <c r="D213" i="1"/>
  <c r="D209" i="1"/>
  <c r="D205" i="1"/>
  <c r="D201" i="1"/>
  <c r="D197" i="1"/>
  <c r="D193" i="1"/>
  <c r="D189" i="1"/>
  <c r="D185" i="1"/>
  <c r="D181" i="1"/>
  <c r="D177" i="1"/>
  <c r="D173" i="1"/>
  <c r="D169" i="1"/>
  <c r="D165" i="1"/>
  <c r="D161" i="1"/>
  <c r="D157" i="1"/>
  <c r="D153" i="1"/>
  <c r="D149" i="1"/>
  <c r="D145" i="1"/>
  <c r="D141" i="1"/>
  <c r="D137" i="1"/>
  <c r="D133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D304" i="1"/>
  <c r="D300" i="1"/>
  <c r="D296" i="1"/>
  <c r="D292" i="1"/>
  <c r="D288" i="1"/>
  <c r="D284" i="1"/>
  <c r="D280" i="1"/>
  <c r="D276" i="1"/>
  <c r="D272" i="1"/>
  <c r="D268" i="1"/>
  <c r="D264" i="1"/>
  <c r="D260" i="1"/>
  <c r="D256" i="1"/>
  <c r="D252" i="1"/>
  <c r="D248" i="1"/>
  <c r="D244" i="1"/>
  <c r="D240" i="1"/>
  <c r="D236" i="1"/>
  <c r="D232" i="1"/>
  <c r="D228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172" i="1"/>
  <c r="D168" i="1"/>
  <c r="D164" i="1"/>
  <c r="D156" i="1"/>
  <c r="D152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28" i="1"/>
  <c r="D24" i="1"/>
  <c r="D20" i="1"/>
  <c r="D16" i="1"/>
  <c r="D12" i="1"/>
  <c r="D8" i="1"/>
  <c r="D4" i="1"/>
  <c r="D299" i="1"/>
  <c r="D291" i="1"/>
  <c r="D287" i="1"/>
  <c r="D275" i="1"/>
  <c r="D271" i="1"/>
  <c r="D263" i="1"/>
  <c r="D259" i="1"/>
  <c r="D255" i="1"/>
  <c r="D251" i="1"/>
  <c r="D247" i="1"/>
  <c r="D243" i="1"/>
  <c r="D239" i="1"/>
  <c r="D235" i="1"/>
  <c r="D231" i="1"/>
  <c r="D227" i="1"/>
  <c r="D223" i="1"/>
  <c r="D215" i="1"/>
  <c r="D211" i="1"/>
  <c r="D207" i="1"/>
  <c r="D199" i="1"/>
  <c r="D195" i="1"/>
  <c r="D191" i="1"/>
  <c r="D187" i="1"/>
  <c r="D183" i="1"/>
  <c r="D179" i="1"/>
  <c r="D175" i="1"/>
  <c r="D171" i="1"/>
  <c r="D167" i="1"/>
  <c r="D163" i="1"/>
  <c r="D159" i="1"/>
  <c r="D151" i="1"/>
  <c r="D147" i="1"/>
  <c r="D143" i="1"/>
  <c r="D135" i="1"/>
  <c r="D131" i="1"/>
  <c r="D127" i="1"/>
  <c r="D123" i="1"/>
  <c r="D119" i="1"/>
  <c r="D115" i="1"/>
  <c r="D111" i="1"/>
  <c r="D107" i="1"/>
  <c r="D103" i="1"/>
  <c r="D99" i="1"/>
  <c r="D95" i="1"/>
  <c r="D87" i="1"/>
  <c r="D83" i="1"/>
  <c r="D79" i="1"/>
  <c r="D71" i="1"/>
  <c r="D67" i="1"/>
  <c r="D63" i="1"/>
  <c r="D59" i="1"/>
  <c r="D55" i="1"/>
  <c r="D51" i="1"/>
  <c r="D47" i="1"/>
  <c r="D43" i="1"/>
  <c r="D39" i="1"/>
  <c r="D35" i="1"/>
  <c r="D31" i="1"/>
  <c r="D23" i="1"/>
  <c r="D19" i="1"/>
  <c r="D15" i="1"/>
  <c r="D7" i="1"/>
  <c r="D3" i="1"/>
  <c r="D294" i="1"/>
  <c r="D290" i="1"/>
  <c r="D286" i="1"/>
  <c r="D282" i="1"/>
  <c r="D278" i="1"/>
  <c r="D274" i="1"/>
  <c r="D270" i="1"/>
  <c r="D266" i="1"/>
  <c r="D262" i="1"/>
  <c r="D258" i="1"/>
  <c r="D254" i="1"/>
  <c r="D250" i="1"/>
  <c r="D246" i="1"/>
  <c r="D242" i="1"/>
  <c r="D238" i="1"/>
  <c r="D234" i="1"/>
  <c r="D230" i="1"/>
  <c r="D226" i="1"/>
  <c r="D222" i="1"/>
  <c r="D218" i="1"/>
  <c r="D214" i="1"/>
  <c r="D210" i="1"/>
  <c r="D206" i="1"/>
  <c r="D202" i="1"/>
  <c r="D198" i="1"/>
  <c r="D194" i="1"/>
  <c r="D190" i="1"/>
  <c r="D186" i="1"/>
  <c r="D182" i="1"/>
  <c r="D178" i="1"/>
  <c r="D174" i="1"/>
  <c r="D170" i="1"/>
  <c r="D166" i="1"/>
  <c r="D162" i="1"/>
  <c r="D158" i="1"/>
  <c r="D154" i="1"/>
  <c r="D150" i="1"/>
  <c r="D146" i="1"/>
  <c r="D142" i="1"/>
  <c r="D138" i="1"/>
  <c r="D134" i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I10" i="2"/>
  <c r="H186" i="2"/>
  <c r="I186" i="2" s="1"/>
  <c r="I188" i="2" s="1"/>
  <c r="H22" i="2"/>
  <c r="I22" i="2" s="1"/>
  <c r="I24" i="2" s="1"/>
  <c r="I137" i="2"/>
  <c r="H58" i="2"/>
  <c r="I58" i="2" s="1"/>
  <c r="I61" i="2" s="1"/>
  <c r="H42" i="2"/>
  <c r="I42" i="2" s="1"/>
  <c r="H41" i="2"/>
  <c r="I41" i="2" s="1"/>
  <c r="I45" i="2" s="1"/>
  <c r="H43" i="2"/>
  <c r="I43" i="2" s="1"/>
  <c r="I122" i="2" l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2" i="1"/>
  <c r="U2" i="1" s="1"/>
</calcChain>
</file>

<file path=xl/sharedStrings.xml><?xml version="1.0" encoding="utf-8"?>
<sst xmlns="http://schemas.openxmlformats.org/spreadsheetml/2006/main" count="842" uniqueCount="208">
  <si>
    <t>customerid</t>
  </si>
  <si>
    <t>age</t>
  </si>
  <si>
    <t>Chest_pain</t>
  </si>
  <si>
    <t>resting_BP</t>
  </si>
  <si>
    <t>Cholestrol</t>
  </si>
  <si>
    <t>Fasting_Blood_Sugar</t>
  </si>
  <si>
    <t>Resting_Ecg_Result</t>
  </si>
  <si>
    <t>Max_Heart_Rate</t>
  </si>
  <si>
    <t>Exercise_Induced_Angina</t>
  </si>
  <si>
    <t>St_Depression</t>
  </si>
  <si>
    <t>St_Slope</t>
  </si>
  <si>
    <t>Num_Major_Vessels</t>
  </si>
  <si>
    <t>Thalassemia_Type</t>
  </si>
  <si>
    <t>Heart_Disease</t>
  </si>
  <si>
    <t>Gender</t>
  </si>
  <si>
    <t>age_bin</t>
  </si>
  <si>
    <t>Resting_bp_bin</t>
  </si>
  <si>
    <t>Cholestrol_bin</t>
  </si>
  <si>
    <t>ST_Depression_bin</t>
  </si>
  <si>
    <t>Row Labels</t>
  </si>
  <si>
    <t>27-36</t>
  </si>
  <si>
    <t>66+</t>
  </si>
  <si>
    <t>Grand Total</t>
  </si>
  <si>
    <t>Column Labels</t>
  </si>
  <si>
    <t xml:space="preserve">Age </t>
  </si>
  <si>
    <t>percentage_of_event</t>
  </si>
  <si>
    <t>percentage_of_non_event</t>
  </si>
  <si>
    <t>Information_value</t>
  </si>
  <si>
    <t>Weight_of_evidence</t>
  </si>
  <si>
    <t>Sum Of Information Value</t>
  </si>
  <si>
    <t xml:space="preserve">Gender </t>
  </si>
  <si>
    <t xml:space="preserve">Chest_pain </t>
  </si>
  <si>
    <t>121-150</t>
  </si>
  <si>
    <t>151-180</t>
  </si>
  <si>
    <t>94-120</t>
  </si>
  <si>
    <t>180+</t>
  </si>
  <si>
    <t xml:space="preserve">Resting_bp </t>
  </si>
  <si>
    <t>126-200</t>
  </si>
  <si>
    <t>201-250</t>
  </si>
  <si>
    <t>251-300</t>
  </si>
  <si>
    <t>400+</t>
  </si>
  <si>
    <t>351-400</t>
  </si>
  <si>
    <t xml:space="preserve">Cholestrol </t>
  </si>
  <si>
    <t xml:space="preserve">fasting_blood_sugar </t>
  </si>
  <si>
    <t>Resting_ECG</t>
  </si>
  <si>
    <t>101-130</t>
  </si>
  <si>
    <t>131-160</t>
  </si>
  <si>
    <t>161-190</t>
  </si>
  <si>
    <t>190+</t>
  </si>
  <si>
    <t>71-100</t>
  </si>
  <si>
    <t>Heart_rate</t>
  </si>
  <si>
    <t>induced_agina</t>
  </si>
  <si>
    <t>1.6-2.8</t>
  </si>
  <si>
    <t>0.1-1.5</t>
  </si>
  <si>
    <t>2.9-4</t>
  </si>
  <si>
    <t>4+</t>
  </si>
  <si>
    <t>Depression_ST</t>
  </si>
  <si>
    <t>Slope_ST</t>
  </si>
  <si>
    <t>age_woe</t>
  </si>
  <si>
    <t>37-46</t>
  </si>
  <si>
    <t>47-56</t>
  </si>
  <si>
    <t>57-66</t>
  </si>
  <si>
    <t>Gender_woe</t>
  </si>
  <si>
    <t>Chest_woe</t>
  </si>
  <si>
    <t>Resting_woe</t>
  </si>
  <si>
    <t>Cholestrol_woe</t>
  </si>
  <si>
    <t>Ecg_woe</t>
  </si>
  <si>
    <t>Heart_rate_woe</t>
  </si>
  <si>
    <t>Induced_Angina_woe</t>
  </si>
  <si>
    <t>Depression_woe</t>
  </si>
  <si>
    <t>St_slope_woe</t>
  </si>
  <si>
    <t>Major_vessels</t>
  </si>
  <si>
    <t>Thalassemia_woe</t>
  </si>
  <si>
    <t>No</t>
  </si>
  <si>
    <t>Yes</t>
  </si>
  <si>
    <t>Disease</t>
  </si>
  <si>
    <t>Resting</t>
  </si>
  <si>
    <t>Ecg</t>
  </si>
  <si>
    <t>Depression</t>
  </si>
  <si>
    <t>St_slope</t>
  </si>
  <si>
    <t>Thalassemia</t>
  </si>
  <si>
    <t>Major_Vessels</t>
  </si>
  <si>
    <t>customer_IDs</t>
  </si>
  <si>
    <t>Actual_Values</t>
  </si>
  <si>
    <t>Prediction</t>
  </si>
  <si>
    <t>Confusion_Matrix</t>
  </si>
  <si>
    <t>Recall</t>
  </si>
  <si>
    <t>Precision</t>
  </si>
  <si>
    <t>Accuracy</t>
  </si>
  <si>
    <t>F1_Score</t>
  </si>
  <si>
    <t>Features</t>
  </si>
  <si>
    <t>Fasting_blood_sugar2</t>
  </si>
  <si>
    <t>Max_Heart_rate_bin</t>
  </si>
  <si>
    <t xml:space="preserve">Max_Heart_ rate </t>
  </si>
  <si>
    <t>Confusion Matrix</t>
  </si>
  <si>
    <t>Predicted Value</t>
  </si>
  <si>
    <t>IV</t>
  </si>
  <si>
    <t>Model_Iteration</t>
  </si>
  <si>
    <t>Min_Sample_Leaf</t>
  </si>
  <si>
    <t>Max_Depth</t>
  </si>
  <si>
    <t>Accurcacy</t>
  </si>
  <si>
    <t>#Features</t>
  </si>
  <si>
    <t>Min_Sample_Split</t>
  </si>
  <si>
    <t>NONE</t>
  </si>
  <si>
    <t>Actual Values</t>
  </si>
  <si>
    <t>Predicted_Values</t>
  </si>
  <si>
    <t>Description</t>
  </si>
  <si>
    <t>1. Problem Statement</t>
  </si>
  <si>
    <t>The dataset contains patient-level medical records where each row represents a unique individual.</t>
  </si>
  <si>
    <t>Initial Target Variable</t>
  </si>
  <si>
    <r>
      <t>Disease</t>
    </r>
    <r>
      <rPr>
        <sz val="11"/>
        <color theme="1"/>
        <rFont val="Calibri"/>
        <family val="2"/>
        <scheme val="minor"/>
      </rPr>
      <t>: Binary target</t>
    </r>
  </si>
  <si>
    <r>
      <t>Yes</t>
    </r>
    <r>
      <rPr>
        <sz val="11"/>
        <color theme="1"/>
        <rFont val="Calibri"/>
        <family val="2"/>
        <scheme val="minor"/>
      </rPr>
      <t xml:space="preserve"> → Heart disease present</t>
    </r>
  </si>
  <si>
    <r>
      <t>No</t>
    </r>
    <r>
      <rPr>
        <sz val="11"/>
        <color theme="1"/>
        <rFont val="Calibri"/>
        <family val="2"/>
        <scheme val="minor"/>
      </rPr>
      <t xml:space="preserve"> → Heart disease absent</t>
    </r>
  </si>
  <si>
    <t>1. Age</t>
  </si>
  <si>
    <t>2. Gender</t>
  </si>
  <si>
    <t>3. Resting Blood Pressure</t>
  </si>
  <si>
    <t>4. Cholesterol</t>
  </si>
  <si>
    <t>5. ECG</t>
  </si>
  <si>
    <t>6. Heart Rate</t>
  </si>
  <si>
    <t>3. Data Preprocessing &amp; Binning</t>
  </si>
  <si>
    <r>
      <t xml:space="preserve">Since Decision Trees benefit from meaningful splits and WOE requires categorical bins, numerical variables were </t>
    </r>
    <r>
      <rPr>
        <b/>
        <sz val="11"/>
        <color theme="1"/>
        <rFont val="Calibri"/>
        <family val="2"/>
        <scheme val="minor"/>
      </rPr>
      <t>binned</t>
    </r>
    <r>
      <rPr>
        <sz val="11"/>
        <color theme="1"/>
        <rFont val="Calibri"/>
        <family val="2"/>
        <scheme val="minor"/>
      </rPr>
      <t xml:space="preserve"> based on domain knowledge and distribution.</t>
    </r>
  </si>
  <si>
    <t>Examples:</t>
  </si>
  <si>
    <r>
      <t>Age</t>
    </r>
    <r>
      <rPr>
        <sz val="11"/>
        <color theme="1"/>
        <rFont val="Calibri"/>
        <family val="2"/>
        <scheme val="minor"/>
      </rPr>
      <t xml:space="preserve"> → 27–36, 37–46, 47–56, 57–66, 66+</t>
    </r>
  </si>
  <si>
    <r>
      <t>Resting BP</t>
    </r>
    <r>
      <rPr>
        <sz val="11"/>
        <color theme="1"/>
        <rFont val="Calibri"/>
        <family val="2"/>
        <scheme val="minor"/>
      </rPr>
      <t xml:space="preserve"> → 94–120, 121–150, 151–180</t>
    </r>
  </si>
  <si>
    <r>
      <t xml:space="preserve">Each bin was later converted into </t>
    </r>
    <r>
      <rPr>
        <b/>
        <sz val="11"/>
        <color theme="1"/>
        <rFont val="Calibri"/>
        <family val="2"/>
        <scheme val="minor"/>
      </rPr>
      <t>WOE values</t>
    </r>
    <r>
      <rPr>
        <sz val="11"/>
        <color theme="1"/>
        <rFont val="Calibri"/>
        <family val="2"/>
        <scheme val="minor"/>
      </rPr>
      <t>, making the model more interpretable and stable.</t>
    </r>
  </si>
  <si>
    <t>4. Weight of Evidence (WOE) &amp; Information Value (IV)</t>
  </si>
  <si>
    <t>Interpretation Rules (Industry Standard)</t>
  </si>
  <si>
    <t>IV &lt; 0.02 → Not predictive</t>
  </si>
  <si>
    <t>0.02 ≤ IV &lt; 0.1 → Weak predictor</t>
  </si>
  <si>
    <t>0.1 ≤ IV &lt; 0.3 → Medium predictor</t>
  </si>
  <si>
    <t>IV ≥ 0.3 → Strong predictor</t>
  </si>
  <si>
    <t>5. Feature Reduction Using IV Cutoff</t>
  </si>
  <si>
    <t>To avoid noise and overfitting, feature selection was performed using IV thresholds.</t>
  </si>
  <si>
    <t>IV Cutoff Strategy</t>
  </si>
  <si>
    <t>Features with very low IV and low model contribution were gradually removed</t>
  </si>
  <si>
    <t>Feature Reduction Flow</t>
  </si>
  <si>
    <r>
      <t xml:space="preserve">Initial features: </t>
    </r>
    <r>
      <rPr>
        <b/>
        <sz val="11"/>
        <color theme="1"/>
        <rFont val="Calibri"/>
        <family val="2"/>
        <scheme val="minor"/>
      </rPr>
      <t>8</t>
    </r>
  </si>
  <si>
    <r>
      <t xml:space="preserve">Final selected features: </t>
    </r>
    <r>
      <rPr>
        <b/>
        <sz val="11"/>
        <color theme="1"/>
        <rFont val="Calibri"/>
        <family val="2"/>
        <scheme val="minor"/>
      </rPr>
      <t>7 → 6</t>
    </r>
    <r>
      <rPr>
        <sz val="11"/>
        <color theme="1"/>
        <rFont val="Calibri"/>
        <family val="2"/>
        <scheme val="minor"/>
      </rPr>
      <t xml:space="preserve"> (based on iteration)</t>
    </r>
  </si>
  <si>
    <r>
      <t xml:space="preserve">Low-impact features such as </t>
    </r>
    <r>
      <rPr>
        <b/>
        <sz val="11"/>
        <color theme="1"/>
        <rFont val="Calibri"/>
        <family val="2"/>
        <scheme val="minor"/>
      </rPr>
      <t>Resting BP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Cholesterol</t>
    </r>
    <r>
      <rPr>
        <sz val="11"/>
        <color theme="1"/>
        <rFont val="Calibri"/>
        <family val="2"/>
        <scheme val="minor"/>
      </rPr>
      <t xml:space="preserve"> showed negligible contribution and were candidates for removal during model tuning.</t>
    </r>
  </si>
  <si>
    <t>6. Correlation Analysis</t>
  </si>
  <si>
    <t>Correlation analysis ensured that highly correlated variables do not distort splits.</t>
  </si>
  <si>
    <t>Observations</t>
  </si>
  <si>
    <t>No severe multicollinearity observed</t>
  </si>
  <si>
    <t>Highest correlation:</t>
  </si>
  <si>
    <t>Heart_rate ↔ ST_slope ≈ 0.39</t>
  </si>
  <si>
    <t>Depression ↔ ST_slope ≈ 0.38</t>
  </si>
  <si>
    <t>These correlations are acceptable and justified clinically, so features were retained.</t>
  </si>
  <si>
    <t>7. Decision Tree Model Building</t>
  </si>
  <si>
    <t>The Decision Tree classifier was trained using WOE-transformed features.</t>
  </si>
  <si>
    <t>Tuned Hyperparameters</t>
  </si>
  <si>
    <t>Max Depth</t>
  </si>
  <si>
    <t>Min Samples Split</t>
  </si>
  <si>
    <t>Min Samples Leaf</t>
  </si>
  <si>
    <t>8. Model Iterations &amp; Performance Comparison</t>
  </si>
  <si>
    <t>Multiple model iterations were performed to balance recall, precision, and overfitting.</t>
  </si>
  <si>
    <t>Model Iteration Summary</t>
  </si>
  <si>
    <t>Iter</t>
  </si>
  <si>
    <t>Min Leaf</t>
  </si>
  <si>
    <t>Min Split</t>
  </si>
  <si>
    <t>F1</t>
  </si>
  <si>
    <t>Final Model Selection Reason</t>
  </si>
  <si>
    <r>
      <t xml:space="preserve">Balanced </t>
    </r>
    <r>
      <rPr>
        <b/>
        <sz val="11"/>
        <color theme="1"/>
        <rFont val="Calibri"/>
        <family val="2"/>
        <scheme val="minor"/>
      </rPr>
      <t>Recall and Precision</t>
    </r>
  </si>
  <si>
    <t>Reduced feature count</t>
  </si>
  <si>
    <t>Controlled overfitting</t>
  </si>
  <si>
    <t>Clinically interpretable splits</t>
  </si>
  <si>
    <t>9. Confusion Matrix &amp; Model Evaluation</t>
  </si>
  <si>
    <t>Confusion Matrix Results</t>
  </si>
  <si>
    <t>True Positives: 32</t>
  </si>
  <si>
    <t>True Negatives: 33</t>
  </si>
  <si>
    <t>False Positives: 16</t>
  </si>
  <si>
    <t>False Negatives: 10</t>
  </si>
  <si>
    <t>Final Metrics</t>
  </si>
  <si>
    <r>
      <t>Recall:</t>
    </r>
    <r>
      <rPr>
        <sz val="11"/>
        <color theme="1"/>
        <rFont val="Calibri"/>
        <family val="2"/>
        <scheme val="minor"/>
      </rPr>
      <t xml:space="preserve"> 76%</t>
    </r>
  </si>
  <si>
    <r>
      <t>Precision:</t>
    </r>
    <r>
      <rPr>
        <sz val="11"/>
        <color theme="1"/>
        <rFont val="Calibri"/>
        <family val="2"/>
        <scheme val="minor"/>
      </rPr>
      <t xml:space="preserve"> 67%</t>
    </r>
  </si>
  <si>
    <r>
      <t>Accuracy:</t>
    </r>
    <r>
      <rPr>
        <sz val="11"/>
        <color theme="1"/>
        <rFont val="Calibri"/>
        <family val="2"/>
        <scheme val="minor"/>
      </rPr>
      <t xml:space="preserve"> 71%</t>
    </r>
  </si>
  <si>
    <r>
      <t>F1 Score:</t>
    </r>
    <r>
      <rPr>
        <sz val="11"/>
        <color theme="1"/>
        <rFont val="Calibri"/>
        <family val="2"/>
        <scheme val="minor"/>
      </rPr>
      <t xml:space="preserve"> 71%</t>
    </r>
  </si>
  <si>
    <t>Interpretation:</t>
  </si>
  <si>
    <t>The model prioritizes recall, which is desirable in medical use cases to minimize missed disease cases.</t>
  </si>
  <si>
    <t>10. Feature Importance Summary</t>
  </si>
  <si>
    <r>
      <t>Depression:</t>
    </r>
    <r>
      <rPr>
        <sz val="11"/>
        <color theme="1"/>
        <rFont val="Calibri"/>
        <family val="2"/>
        <scheme val="minor"/>
      </rPr>
      <t xml:space="preserve"> Highest influence, key medical indicator</t>
    </r>
  </si>
  <si>
    <r>
      <t>Gender &amp; Age:</t>
    </r>
    <r>
      <rPr>
        <sz val="11"/>
        <color theme="1"/>
        <rFont val="Calibri"/>
        <family val="2"/>
        <scheme val="minor"/>
      </rPr>
      <t xml:space="preserve"> Moderate demographic impact</t>
    </r>
  </si>
  <si>
    <r>
      <t>Resting BP &amp; Cholesterol:</t>
    </r>
    <r>
      <rPr>
        <sz val="11"/>
        <color theme="1"/>
        <rFont val="Calibri"/>
        <family val="2"/>
        <scheme val="minor"/>
      </rPr>
      <t xml:space="preserve"> Low incremental value</t>
    </r>
  </si>
  <si>
    <t>11. Final Conclusion</t>
  </si>
  <si>
    <r>
      <t>Project Outcome:</t>
    </r>
    <r>
      <rPr>
        <sz val="11"/>
        <color theme="1"/>
        <rFont val="Calibri"/>
        <family val="2"/>
        <scheme val="minor"/>
      </rPr>
      <t xml:space="preserve"> A robust, explainable heart disease prediction model with data-driven feature selection and justified model tuning.</t>
    </r>
  </si>
  <si>
    <t xml:space="preserve">Cardiovascular diseases are one of the leading causes of death worldwide. </t>
  </si>
  <si>
    <t>The focus is not only on prediction accuracy, but also on feature interpretability, using Weight of Evidence (WOE) and Information Value (IV) for feature selection.</t>
  </si>
  <si>
    <t>The objective of this project is to build an interpretable Decision Tree classification model to predict the presence of heart disease (Yes/No) using patient demographic and clinical attributes</t>
  </si>
  <si>
    <t>Project Report For Heart Disease</t>
  </si>
  <si>
    <t xml:space="preserve">Initial Features </t>
  </si>
  <si>
    <t xml:space="preserve">7. Depression </t>
  </si>
  <si>
    <r>
      <t xml:space="preserve">This project demonstrates a </t>
    </r>
    <r>
      <rPr>
        <b/>
        <sz val="11"/>
        <color theme="1"/>
        <rFont val="Calibri"/>
        <family val="2"/>
        <scheme val="minor"/>
      </rPr>
      <t>fully interpretable Decision Tree model</t>
    </r>
    <r>
      <rPr>
        <sz val="11"/>
        <color theme="1"/>
        <rFont val="Calibri"/>
        <family val="2"/>
        <scheme val="minor"/>
      </rPr>
      <t xml:space="preserve"> enhanced using </t>
    </r>
    <r>
      <rPr>
        <b/>
        <sz val="11"/>
        <color theme="1"/>
        <rFont val="Calibri"/>
        <family val="2"/>
        <scheme val="minor"/>
      </rPr>
      <t>WOE &amp; IV-based feature selection</t>
    </r>
    <r>
      <rPr>
        <sz val="11"/>
        <color theme="1"/>
        <rFont val="Calibri"/>
        <family val="2"/>
        <scheme val="minor"/>
      </rPr>
      <t xml:space="preserve">. </t>
    </r>
  </si>
  <si>
    <t>The final model achieves a balanced performance while maintaining explainability, making it suitable for real-world healthcare analytics and academic evaluation.</t>
  </si>
  <si>
    <t>3 (Final)</t>
  </si>
  <si>
    <t>IV measures the strength of each feature in separating events (heart disease) from non-events.</t>
  </si>
  <si>
    <r>
      <t xml:space="preserve">Features with </t>
    </r>
    <r>
      <rPr>
        <b/>
        <sz val="11"/>
        <color theme="1"/>
        <rFont val="Calibri"/>
        <family val="2"/>
        <scheme val="minor"/>
      </rPr>
      <t>IV ≥ 0.02</t>
    </r>
    <r>
      <rPr>
        <sz val="11"/>
        <color theme="1"/>
        <rFont val="Calibri"/>
        <family val="2"/>
        <scheme val="minor"/>
      </rPr>
      <t xml:space="preserve"> were prioritized</t>
    </r>
  </si>
  <si>
    <t>“The domain impact of this project lies in providing an interpretable, data-driven decision support system for early heart disease detection, enabling faster, more reliable, and clinically explainable risk assessment.”</t>
  </si>
  <si>
    <t>Domain Impact</t>
  </si>
  <si>
    <t>Strongest predictor, showing very high influence and clear separation between heart-disease and non-disease cases.</t>
  </si>
  <si>
    <t>Moderate predictor, capturing demographic risk differences with meaningful model contribution.</t>
  </si>
  <si>
    <t>Strong physiological indicator with high predictive power and significant impact on model decisions.</t>
  </si>
  <si>
    <t>Highly predictive ECG-related feature that effectively distinguishes disease presence.</t>
  </si>
  <si>
    <t>Moderate predictor representing age-based risk variation with reasonable influence.</t>
  </si>
  <si>
    <t>Weak predictor with limited discriminatory power and minimal model contribution.</t>
  </si>
  <si>
    <t>Low predictive feature showing minimal influence on heart disease prediction</t>
  </si>
  <si>
    <t>Statistically relevant but weak standalone predictor, likely overlapping with other cardiac features.</t>
  </si>
  <si>
    <t>St_segment(ECG)</t>
  </si>
  <si>
    <t>8. ST_segment(ECG)</t>
  </si>
  <si>
    <r>
      <t xml:space="preserve"> ST_segment(ECG) &amp; Heart Rate:</t>
    </r>
    <r>
      <rPr>
        <sz val="11"/>
        <color theme="1"/>
        <rFont val="Calibri"/>
        <family val="2"/>
        <scheme val="minor"/>
      </rPr>
      <t xml:space="preserve"> Strong ECG-related predictors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</si>
</sst>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Bahnschrift"/>
      <family val="2"/>
    </font>
    <font>
      <b/>
      <sz val="11"/>
      <name val="Calibri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2" fontId="16" fillId="33" borderId="0" xfId="0" applyNumberFormat="1" applyFont="1" applyFill="1"/>
    <xf numFmtId="2" fontId="16" fillId="34" borderId="0" xfId="0" applyNumberFormat="1" applyFont="1" applyFill="1"/>
    <xf numFmtId="2" fontId="16" fillId="35" borderId="0" xfId="0" applyNumberFormat="1" applyFont="1" applyFill="1"/>
    <xf numFmtId="2" fontId="16" fillId="36" borderId="0" xfId="0" applyNumberFormat="1" applyFont="1" applyFill="1"/>
    <xf numFmtId="0" fontId="16" fillId="0" borderId="0" xfId="0" applyFont="1"/>
    <xf numFmtId="9" fontId="16" fillId="0" borderId="0" xfId="42" applyFont="1"/>
    <xf numFmtId="0" fontId="16" fillId="0" borderId="0" xfId="0" pivotButton="1" applyFont="1"/>
    <xf numFmtId="9" fontId="16" fillId="0" borderId="0" xfId="42" pivotButton="1" applyFont="1"/>
    <xf numFmtId="0" fontId="19" fillId="0" borderId="10" xfId="0" applyFont="1" applyBorder="1" applyAlignment="1">
      <alignment horizontal="center" vertical="top"/>
    </xf>
    <xf numFmtId="0" fontId="0" fillId="0" borderId="0" xfId="0" applyAlignment="1"/>
    <xf numFmtId="0" fontId="0" fillId="37" borderId="0" xfId="0" applyFill="1"/>
    <xf numFmtId="0" fontId="19" fillId="37" borderId="0" xfId="0" applyFont="1" applyFill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2" fontId="0" fillId="0" borderId="0" xfId="0" applyNumberFormat="1" applyFill="1" applyBorder="1" applyAlignment="1"/>
    <xf numFmtId="2" fontId="0" fillId="0" borderId="11" xfId="0" applyNumberFormat="1" applyFill="1" applyBorder="1" applyAlignment="1"/>
    <xf numFmtId="0" fontId="20" fillId="0" borderId="12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Fill="1"/>
    <xf numFmtId="0" fontId="16" fillId="0" borderId="0" xfId="0" applyFont="1" applyAlignment="1">
      <alignment horizontal="center"/>
    </xf>
    <xf numFmtId="0" fontId="0" fillId="33" borderId="0" xfId="0" applyFill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4" fillId="0" borderId="0" xfId="0" applyFont="1" applyAlignment="1">
      <alignment horizontal="left" vertical="center" indent="2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pivot_Table!$B$2:$B$3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pivot_Table!$A$4:$A$9</c:f>
              <c:strCache>
                <c:ptCount val="5"/>
                <c:pt idx="0">
                  <c:v>27-36</c:v>
                </c:pt>
                <c:pt idx="1">
                  <c:v>37-46</c:v>
                </c:pt>
                <c:pt idx="2">
                  <c:v>47-56</c:v>
                </c:pt>
                <c:pt idx="3">
                  <c:v>57-66</c:v>
                </c:pt>
                <c:pt idx="4">
                  <c:v>66+</c:v>
                </c:pt>
              </c:strCache>
            </c:strRef>
          </c:cat>
          <c:val>
            <c:numRef>
              <c:f>pivot_Table!$B$4:$B$9</c:f>
              <c:numCache>
                <c:formatCode>General</c:formatCode>
                <c:ptCount val="5"/>
                <c:pt idx="0">
                  <c:v>5</c:v>
                </c:pt>
                <c:pt idx="1">
                  <c:v>46</c:v>
                </c:pt>
                <c:pt idx="2">
                  <c:v>56</c:v>
                </c:pt>
                <c:pt idx="3">
                  <c:v>44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7-4725-AE2F-54EA1B4E5D21}"/>
            </c:ext>
          </c:extLst>
        </c:ser>
        <c:ser>
          <c:idx val="1"/>
          <c:order val="1"/>
          <c:tx>
            <c:strRef>
              <c:f>pivot_Table!$C$2:$C$3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pivot_Table!$A$4:$A$9</c:f>
              <c:strCache>
                <c:ptCount val="5"/>
                <c:pt idx="0">
                  <c:v>27-36</c:v>
                </c:pt>
                <c:pt idx="1">
                  <c:v>37-46</c:v>
                </c:pt>
                <c:pt idx="2">
                  <c:v>47-56</c:v>
                </c:pt>
                <c:pt idx="3">
                  <c:v>57-66</c:v>
                </c:pt>
                <c:pt idx="4">
                  <c:v>66+</c:v>
                </c:pt>
              </c:strCache>
            </c:strRef>
          </c:cat>
          <c:val>
            <c:numRef>
              <c:f>pivot_Table!$C$4:$C$9</c:f>
              <c:numCache>
                <c:formatCode>General</c:formatCode>
                <c:ptCount val="5"/>
                <c:pt idx="0">
                  <c:v>2</c:v>
                </c:pt>
                <c:pt idx="1">
                  <c:v>17</c:v>
                </c:pt>
                <c:pt idx="2">
                  <c:v>36</c:v>
                </c:pt>
                <c:pt idx="3">
                  <c:v>71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7-4725-AE2F-54EA1B4E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975695"/>
        <c:axId val="946591103"/>
      </c:barChart>
      <c:catAx>
        <c:axId val="2419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91103"/>
        <c:crosses val="autoZero"/>
        <c:auto val="1"/>
        <c:lblAlgn val="ctr"/>
        <c:lblOffset val="100"/>
        <c:noMultiLvlLbl val="0"/>
      </c:catAx>
      <c:valAx>
        <c:axId val="9465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pivot_Table!$B$19:$B$20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pivot_Table!$A$21:$A$23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pivot_Table!$B$21:$B$23</c:f>
              <c:numCache>
                <c:formatCode>General</c:formatCode>
                <c:ptCount val="2"/>
                <c:pt idx="0">
                  <c:v>72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8-474E-9993-105B6077A9A5}"/>
            </c:ext>
          </c:extLst>
        </c:ser>
        <c:ser>
          <c:idx val="1"/>
          <c:order val="1"/>
          <c:tx>
            <c:strRef>
              <c:f>pivot_Table!$C$19:$C$20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pivot_Table!$A$21:$A$23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pivot_Table!$C$21:$C$23</c:f>
              <c:numCache>
                <c:formatCode>General</c:formatCode>
                <c:ptCount val="2"/>
                <c:pt idx="0">
                  <c:v>25</c:v>
                </c:pt>
                <c:pt idx="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8-474E-9993-105B6077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251247"/>
        <c:axId val="1061358223"/>
      </c:barChart>
      <c:catAx>
        <c:axId val="94725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58223"/>
        <c:crosses val="autoZero"/>
        <c:auto val="1"/>
        <c:lblAlgn val="ctr"/>
        <c:lblOffset val="100"/>
        <c:noMultiLvlLbl val="0"/>
      </c:catAx>
      <c:valAx>
        <c:axId val="10613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5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pivot_Table!$B$38:$B$39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pivot_Table!$A$40:$A$44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pivot_Table!$B$40:$B$44</c:f>
              <c:numCache>
                <c:formatCode>General</c:formatCode>
                <c:ptCount val="4"/>
                <c:pt idx="0">
                  <c:v>16</c:v>
                </c:pt>
                <c:pt idx="1">
                  <c:v>41</c:v>
                </c:pt>
                <c:pt idx="2">
                  <c:v>68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A-49A6-980F-4527B5D2401C}"/>
            </c:ext>
          </c:extLst>
        </c:ser>
        <c:ser>
          <c:idx val="1"/>
          <c:order val="1"/>
          <c:tx>
            <c:strRef>
              <c:f>pivot_Table!$C$38:$C$39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pivot_Table!$A$40:$A$44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pivot_Table!$C$40:$C$44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18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A-49A6-980F-4527B5D24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191263"/>
        <c:axId val="946586943"/>
      </c:barChart>
      <c:catAx>
        <c:axId val="9551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86943"/>
        <c:crosses val="autoZero"/>
        <c:auto val="1"/>
        <c:lblAlgn val="ctr"/>
        <c:lblOffset val="100"/>
        <c:noMultiLvlLbl val="0"/>
      </c:catAx>
      <c:valAx>
        <c:axId val="9465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pivot_Table!$B$54:$B$55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pivot_Table!$A$56:$A$60</c:f>
              <c:strCache>
                <c:ptCount val="4"/>
                <c:pt idx="0">
                  <c:v>121-150</c:v>
                </c:pt>
                <c:pt idx="1">
                  <c:v>151-180</c:v>
                </c:pt>
                <c:pt idx="2">
                  <c:v>94-120</c:v>
                </c:pt>
                <c:pt idx="3">
                  <c:v>180+</c:v>
                </c:pt>
              </c:strCache>
            </c:strRef>
          </c:cat>
          <c:val>
            <c:numRef>
              <c:f>pivot_Table!$B$56:$B$60</c:f>
              <c:numCache>
                <c:formatCode>General</c:formatCode>
                <c:ptCount val="4"/>
                <c:pt idx="0">
                  <c:v>91</c:v>
                </c:pt>
                <c:pt idx="1">
                  <c:v>12</c:v>
                </c:pt>
                <c:pt idx="2">
                  <c:v>60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E-4808-9317-615FE0CC9672}"/>
            </c:ext>
          </c:extLst>
        </c:ser>
        <c:ser>
          <c:idx val="1"/>
          <c:order val="1"/>
          <c:tx>
            <c:strRef>
              <c:f>pivot_Table!$C$54:$C$55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pivot_Table!$A$56:$A$60</c:f>
              <c:strCache>
                <c:ptCount val="4"/>
                <c:pt idx="0">
                  <c:v>121-150</c:v>
                </c:pt>
                <c:pt idx="1">
                  <c:v>151-180</c:v>
                </c:pt>
                <c:pt idx="2">
                  <c:v>94-120</c:v>
                </c:pt>
                <c:pt idx="3">
                  <c:v>180+</c:v>
                </c:pt>
              </c:strCache>
            </c:strRef>
          </c:cat>
          <c:val>
            <c:numRef>
              <c:f>pivot_Table!$C$56:$C$60</c:f>
              <c:numCache>
                <c:formatCode>General</c:formatCode>
                <c:ptCount val="4"/>
                <c:pt idx="0">
                  <c:v>80</c:v>
                </c:pt>
                <c:pt idx="1">
                  <c:v>18</c:v>
                </c:pt>
                <c:pt idx="2">
                  <c:v>37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E-4808-9317-615FE0CC9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565903"/>
        <c:axId val="1063415023"/>
      </c:barChart>
      <c:catAx>
        <c:axId val="9485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15023"/>
        <c:crosses val="autoZero"/>
        <c:auto val="1"/>
        <c:lblAlgn val="ctr"/>
        <c:lblOffset val="100"/>
        <c:noMultiLvlLbl val="0"/>
      </c:catAx>
      <c:valAx>
        <c:axId val="106341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6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pivot_Table!$B$69:$B$70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pivot_Table!$A$71:$A$76</c:f>
              <c:strCache>
                <c:ptCount val="5"/>
                <c:pt idx="0">
                  <c:v>126-200</c:v>
                </c:pt>
                <c:pt idx="1">
                  <c:v>201-250</c:v>
                </c:pt>
                <c:pt idx="2">
                  <c:v>251-300</c:v>
                </c:pt>
                <c:pt idx="3">
                  <c:v>400+</c:v>
                </c:pt>
                <c:pt idx="4">
                  <c:v>351-400</c:v>
                </c:pt>
              </c:strCache>
            </c:strRef>
          </c:cat>
          <c:val>
            <c:numRef>
              <c:f>pivot_Table!$B$71:$B$76</c:f>
              <c:numCache>
                <c:formatCode>General</c:formatCode>
                <c:ptCount val="5"/>
                <c:pt idx="0">
                  <c:v>29</c:v>
                </c:pt>
                <c:pt idx="1">
                  <c:v>77</c:v>
                </c:pt>
                <c:pt idx="2">
                  <c:v>35</c:v>
                </c:pt>
                <c:pt idx="3">
                  <c:v>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1-4C90-B178-4C4C4A845BF7}"/>
            </c:ext>
          </c:extLst>
        </c:ser>
        <c:ser>
          <c:idx val="1"/>
          <c:order val="1"/>
          <c:tx>
            <c:strRef>
              <c:f>pivot_Table!$C$69:$C$70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pivot_Table!$A$71:$A$76</c:f>
              <c:strCache>
                <c:ptCount val="5"/>
                <c:pt idx="0">
                  <c:v>126-200</c:v>
                </c:pt>
                <c:pt idx="1">
                  <c:v>201-250</c:v>
                </c:pt>
                <c:pt idx="2">
                  <c:v>251-300</c:v>
                </c:pt>
                <c:pt idx="3">
                  <c:v>400+</c:v>
                </c:pt>
                <c:pt idx="4">
                  <c:v>351-400</c:v>
                </c:pt>
              </c:strCache>
            </c:strRef>
          </c:cat>
          <c:val>
            <c:numRef>
              <c:f>pivot_Table!$C$71:$C$76</c:f>
              <c:numCache>
                <c:formatCode>General</c:formatCode>
                <c:ptCount val="5"/>
                <c:pt idx="0">
                  <c:v>21</c:v>
                </c:pt>
                <c:pt idx="1">
                  <c:v>49</c:v>
                </c:pt>
                <c:pt idx="2">
                  <c:v>48</c:v>
                </c:pt>
                <c:pt idx="3">
                  <c:v>3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1-4C90-B178-4C4C4A845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400239"/>
        <c:axId val="946589023"/>
      </c:barChart>
      <c:catAx>
        <c:axId val="4824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89023"/>
        <c:crosses val="autoZero"/>
        <c:auto val="1"/>
        <c:lblAlgn val="ctr"/>
        <c:lblOffset val="100"/>
        <c:noMultiLvlLbl val="0"/>
      </c:catAx>
      <c:valAx>
        <c:axId val="9465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0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pivot_Table!$B$97:$B$98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pivot_Table!$A$99:$A$102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pivot_Table!$B$99:$B$102</c:f>
              <c:numCache>
                <c:formatCode>General</c:formatCode>
                <c:ptCount val="3"/>
                <c:pt idx="0">
                  <c:v>95</c:v>
                </c:pt>
                <c:pt idx="1">
                  <c:v>1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79E-8C1A-CCA01DA37809}"/>
            </c:ext>
          </c:extLst>
        </c:ser>
        <c:ser>
          <c:idx val="1"/>
          <c:order val="1"/>
          <c:tx>
            <c:strRef>
              <c:f>pivot_Table!$C$97:$C$98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pivot_Table!$A$99:$A$102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pivot_Table!$C$99:$C$102</c:f>
              <c:numCache>
                <c:formatCode>General</c:formatCode>
                <c:ptCount val="3"/>
                <c:pt idx="0">
                  <c:v>56</c:v>
                </c:pt>
                <c:pt idx="1">
                  <c:v>3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C-479E-8C1A-CCA01DA37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646991"/>
        <c:axId val="946591519"/>
      </c:barChart>
      <c:catAx>
        <c:axId val="3276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91519"/>
        <c:crosses val="autoZero"/>
        <c:auto val="1"/>
        <c:lblAlgn val="ctr"/>
        <c:lblOffset val="100"/>
        <c:noMultiLvlLbl val="0"/>
      </c:catAx>
      <c:valAx>
        <c:axId val="9465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4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pivot_Table!$B$114:$B$115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pivot_Table!$A$116:$A$121</c:f>
              <c:strCache>
                <c:ptCount val="5"/>
                <c:pt idx="0">
                  <c:v>101-130</c:v>
                </c:pt>
                <c:pt idx="1">
                  <c:v>131-160</c:v>
                </c:pt>
                <c:pt idx="2">
                  <c:v>161-190</c:v>
                </c:pt>
                <c:pt idx="3">
                  <c:v>190+</c:v>
                </c:pt>
                <c:pt idx="4">
                  <c:v>71-100</c:v>
                </c:pt>
              </c:strCache>
            </c:strRef>
          </c:cat>
          <c:val>
            <c:numRef>
              <c:f>pivot_Table!$B$116:$B$121</c:f>
              <c:numCache>
                <c:formatCode>General</c:formatCode>
                <c:ptCount val="5"/>
                <c:pt idx="0">
                  <c:v>15</c:v>
                </c:pt>
                <c:pt idx="1">
                  <c:v>64</c:v>
                </c:pt>
                <c:pt idx="2">
                  <c:v>81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B-4AE6-9548-482E28080D2F}"/>
            </c:ext>
          </c:extLst>
        </c:ser>
        <c:ser>
          <c:idx val="1"/>
          <c:order val="1"/>
          <c:tx>
            <c:strRef>
              <c:f>pivot_Table!$C$114:$C$115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pivot_Table!$A$116:$A$121</c:f>
              <c:strCache>
                <c:ptCount val="5"/>
                <c:pt idx="0">
                  <c:v>101-130</c:v>
                </c:pt>
                <c:pt idx="1">
                  <c:v>131-160</c:v>
                </c:pt>
                <c:pt idx="2">
                  <c:v>161-190</c:v>
                </c:pt>
                <c:pt idx="3">
                  <c:v>190+</c:v>
                </c:pt>
                <c:pt idx="4">
                  <c:v>71-100</c:v>
                </c:pt>
              </c:strCache>
            </c:strRef>
          </c:cat>
          <c:val>
            <c:numRef>
              <c:f>pivot_Table!$C$116:$C$121</c:f>
              <c:numCache>
                <c:formatCode>General</c:formatCode>
                <c:ptCount val="5"/>
                <c:pt idx="0">
                  <c:v>40</c:v>
                </c:pt>
                <c:pt idx="1">
                  <c:v>66</c:v>
                </c:pt>
                <c:pt idx="2">
                  <c:v>25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B-4AE6-9548-482E28080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245327"/>
        <c:axId val="954266159"/>
      </c:barChart>
      <c:catAx>
        <c:axId val="9542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66159"/>
        <c:crosses val="autoZero"/>
        <c:auto val="1"/>
        <c:lblAlgn val="ctr"/>
        <c:lblOffset val="100"/>
        <c:noMultiLvlLbl val="0"/>
      </c:catAx>
      <c:valAx>
        <c:axId val="9542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pivot_Table!$B$132:$B$133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pivot_Table!$A$134:$A$136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pivot_Table!$B$134:$B$136</c:f>
              <c:numCache>
                <c:formatCode>General</c:formatCode>
                <c:ptCount val="2"/>
                <c:pt idx="0">
                  <c:v>141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2-48F3-8294-27F41AD0C848}"/>
            </c:ext>
          </c:extLst>
        </c:ser>
        <c:ser>
          <c:idx val="1"/>
          <c:order val="1"/>
          <c:tx>
            <c:strRef>
              <c:f>pivot_Table!$C$132:$C$133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pivot_Table!$A$134:$A$136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pivot_Table!$C$134:$C$136</c:f>
              <c:numCache>
                <c:formatCode>General</c:formatCode>
                <c:ptCount val="2"/>
                <c:pt idx="0">
                  <c:v>63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2-48F3-8294-27F41AD0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399039"/>
        <c:axId val="954276559"/>
      </c:barChart>
      <c:catAx>
        <c:axId val="4823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76559"/>
        <c:crosses val="autoZero"/>
        <c:auto val="1"/>
        <c:lblAlgn val="ctr"/>
        <c:lblOffset val="100"/>
        <c:noMultiLvlLbl val="0"/>
      </c:catAx>
      <c:valAx>
        <c:axId val="9542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9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pivot_Table!$B$147:$B$148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pivot_Table!$A$149:$A$153</c:f>
              <c:strCache>
                <c:ptCount val="4"/>
                <c:pt idx="0">
                  <c:v>1.6-2.8</c:v>
                </c:pt>
                <c:pt idx="1">
                  <c:v>0.1-1.5</c:v>
                </c:pt>
                <c:pt idx="2">
                  <c:v>2.9-4</c:v>
                </c:pt>
                <c:pt idx="3">
                  <c:v>4+</c:v>
                </c:pt>
              </c:strCache>
            </c:strRef>
          </c:cat>
          <c:val>
            <c:numRef>
              <c:f>pivot_Table!$B$149:$B$153</c:f>
              <c:numCache>
                <c:formatCode>General</c:formatCode>
                <c:ptCount val="4"/>
                <c:pt idx="0">
                  <c:v>18</c:v>
                </c:pt>
                <c:pt idx="1">
                  <c:v>143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6-49A8-B551-89F4D1248720}"/>
            </c:ext>
          </c:extLst>
        </c:ser>
        <c:ser>
          <c:idx val="1"/>
          <c:order val="1"/>
          <c:tx>
            <c:strRef>
              <c:f>pivot_Table!$C$147:$C$148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pivot_Table!$A$149:$A$153</c:f>
              <c:strCache>
                <c:ptCount val="4"/>
                <c:pt idx="0">
                  <c:v>1.6-2.8</c:v>
                </c:pt>
                <c:pt idx="1">
                  <c:v>0.1-1.5</c:v>
                </c:pt>
                <c:pt idx="2">
                  <c:v>2.9-4</c:v>
                </c:pt>
                <c:pt idx="3">
                  <c:v>4+</c:v>
                </c:pt>
              </c:strCache>
            </c:strRef>
          </c:cat>
          <c:val>
            <c:numRef>
              <c:f>pivot_Table!$C$149:$C$153</c:f>
              <c:numCache>
                <c:formatCode>General</c:formatCode>
                <c:ptCount val="4"/>
                <c:pt idx="0">
                  <c:v>41</c:v>
                </c:pt>
                <c:pt idx="1">
                  <c:v>75</c:v>
                </c:pt>
                <c:pt idx="2">
                  <c:v>19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6-49A8-B551-89F4D1248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248527"/>
        <c:axId val="1061354895"/>
      </c:barChart>
      <c:catAx>
        <c:axId val="95424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54895"/>
        <c:crosses val="autoZero"/>
        <c:auto val="1"/>
        <c:lblAlgn val="ctr"/>
        <c:lblOffset val="100"/>
        <c:noMultiLvlLbl val="0"/>
      </c:catAx>
      <c:valAx>
        <c:axId val="106135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4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pivot_Table!$B$164:$B$165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pivot_Table!$A$166:$A$169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pivot_Table!$B$166:$B$169</c:f>
              <c:numCache>
                <c:formatCode>General</c:formatCode>
                <c:ptCount val="3"/>
                <c:pt idx="0">
                  <c:v>106</c:v>
                </c:pt>
                <c:pt idx="1">
                  <c:v>49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5-4572-B86B-5929C6706A20}"/>
            </c:ext>
          </c:extLst>
        </c:ser>
        <c:ser>
          <c:idx val="1"/>
          <c:order val="1"/>
          <c:tx>
            <c:strRef>
              <c:f>pivot_Table!$C$164:$C$165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pivot_Table!$A$166:$A$169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pivot_Table!$C$166:$C$169</c:f>
              <c:numCache>
                <c:formatCode>General</c:formatCode>
                <c:ptCount val="3"/>
                <c:pt idx="0">
                  <c:v>36</c:v>
                </c:pt>
                <c:pt idx="1">
                  <c:v>91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5-4572-B86B-5929C6706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733119"/>
        <c:axId val="954277807"/>
      </c:barChart>
      <c:catAx>
        <c:axId val="33573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77807"/>
        <c:crosses val="autoZero"/>
        <c:auto val="1"/>
        <c:lblAlgn val="ctr"/>
        <c:lblOffset val="100"/>
        <c:noMultiLvlLbl val="0"/>
      </c:catAx>
      <c:valAx>
        <c:axId val="9542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3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pivot_Table!$B$181:$B$182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pivot_Table!$A$183:$A$187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pivot_Table!$B$183:$B$187</c:f>
              <c:numCache>
                <c:formatCode>General</c:formatCode>
                <c:ptCount val="4"/>
                <c:pt idx="0">
                  <c:v>133</c:v>
                </c:pt>
                <c:pt idx="1">
                  <c:v>21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9-486F-9DD9-16250FBC79FF}"/>
            </c:ext>
          </c:extLst>
        </c:ser>
        <c:ser>
          <c:idx val="1"/>
          <c:order val="1"/>
          <c:tx>
            <c:strRef>
              <c:f>pivot_Table!$C$181:$C$182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pivot_Table!$A$183:$A$187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pivot_Table!$C$183:$C$187</c:f>
              <c:numCache>
                <c:formatCode>General</c:formatCode>
                <c:ptCount val="4"/>
                <c:pt idx="0">
                  <c:v>47</c:v>
                </c:pt>
                <c:pt idx="1">
                  <c:v>44</c:v>
                </c:pt>
                <c:pt idx="2">
                  <c:v>31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9-486F-9DD9-16250FBC7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664191"/>
        <c:axId val="1061367791"/>
      </c:barChart>
      <c:catAx>
        <c:axId val="3276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67791"/>
        <c:crosses val="autoZero"/>
        <c:auto val="1"/>
        <c:lblAlgn val="ctr"/>
        <c:lblOffset val="100"/>
        <c:noMultiLvlLbl val="0"/>
      </c:catAx>
      <c:valAx>
        <c:axId val="106136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6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[heart_disease.xlsx]pivot_Table!PivotTable13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pivot_Table!$B$198:$B$199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pivot_Table!$A$200:$A$203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pivot_Table!$B$200:$B$203</c:f>
              <c:numCache>
                <c:formatCode>General</c:formatCode>
                <c:ptCount val="3"/>
                <c:pt idx="0">
                  <c:v>130</c:v>
                </c:pt>
                <c:pt idx="1">
                  <c:v>6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940-85D3-9C0F471F39BE}"/>
            </c:ext>
          </c:extLst>
        </c:ser>
        <c:ser>
          <c:idx val="1"/>
          <c:order val="1"/>
          <c:tx>
            <c:strRef>
              <c:f>pivot_Table!$C$198:$C$199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pivot_Table!$A$200:$A$203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pivot_Table!$C$200:$C$203</c:f>
              <c:numCache>
                <c:formatCode>General</c:formatCode>
                <c:ptCount val="3"/>
                <c:pt idx="0">
                  <c:v>38</c:v>
                </c:pt>
                <c:pt idx="1">
                  <c:v>12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940-85D3-9C0F471F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197743"/>
        <c:axId val="1061356559"/>
      </c:barChart>
      <c:catAx>
        <c:axId val="10701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356559"/>
        <c:crosses val="autoZero"/>
        <c:auto val="1"/>
        <c:lblAlgn val="ctr"/>
        <c:lblOffset val="100"/>
        <c:noMultiLvlLbl val="0"/>
      </c:catAx>
      <c:valAx>
        <c:axId val="10613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9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30480</xdr:rowOff>
    </xdr:from>
    <xdr:to>
      <xdr:col>16</xdr:col>
      <xdr:colOff>144780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A5304-F108-4ED1-B3AE-A34162AD0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</xdr:colOff>
      <xdr:row>16</xdr:row>
      <xdr:rowOff>83820</xdr:rowOff>
    </xdr:from>
    <xdr:to>
      <xdr:col>16</xdr:col>
      <xdr:colOff>236220</xdr:colOff>
      <xdr:row>31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731BF-EF71-4BF1-A8B6-70E34E41F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175260</xdr:colOff>
      <xdr:row>33</xdr:row>
      <xdr:rowOff>7620</xdr:rowOff>
    </xdr:from>
    <xdr:to>
      <xdr:col>16</xdr:col>
      <xdr:colOff>281940</xdr:colOff>
      <xdr:row>48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E5A98-592D-485D-9482-6A27CE6D7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198120</xdr:colOff>
      <xdr:row>49</xdr:row>
      <xdr:rowOff>76200</xdr:rowOff>
    </xdr:from>
    <xdr:to>
      <xdr:col>16</xdr:col>
      <xdr:colOff>350520</xdr:colOff>
      <xdr:row>64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DB0CB-AACD-48AE-ABF1-777AD58C2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213360</xdr:colOff>
      <xdr:row>65</xdr:row>
      <xdr:rowOff>160020</xdr:rowOff>
    </xdr:from>
    <xdr:to>
      <xdr:col>16</xdr:col>
      <xdr:colOff>426720</xdr:colOff>
      <xdr:row>81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7BE0A0-E67C-4BCC-B647-A57584E86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114300</xdr:colOff>
      <xdr:row>93</xdr:row>
      <xdr:rowOff>15240</xdr:rowOff>
    </xdr:from>
    <xdr:to>
      <xdr:col>16</xdr:col>
      <xdr:colOff>419100</xdr:colOff>
      <xdr:row>108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E52777-3277-4AE2-8886-1F3D35E5D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168728</xdr:colOff>
      <xdr:row>110</xdr:row>
      <xdr:rowOff>91596</xdr:rowOff>
    </xdr:from>
    <xdr:to>
      <xdr:col>16</xdr:col>
      <xdr:colOff>473528</xdr:colOff>
      <xdr:row>125</xdr:row>
      <xdr:rowOff>91596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A8BF14-9457-4EF8-96BD-A571CC0D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144780</xdr:colOff>
      <xdr:row>126</xdr:row>
      <xdr:rowOff>121920</xdr:rowOff>
    </xdr:from>
    <xdr:to>
      <xdr:col>16</xdr:col>
      <xdr:colOff>449580</xdr:colOff>
      <xdr:row>141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A22A6AE-4D4B-4021-A8CB-AB0BB7FE1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137160</xdr:colOff>
      <xdr:row>143</xdr:row>
      <xdr:rowOff>91440</xdr:rowOff>
    </xdr:from>
    <xdr:to>
      <xdr:col>16</xdr:col>
      <xdr:colOff>441960</xdr:colOff>
      <xdr:row>158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D0CD46-97BC-4CBD-BCD3-58DFB4616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137160</xdr:colOff>
      <xdr:row>160</xdr:row>
      <xdr:rowOff>15240</xdr:rowOff>
    </xdr:from>
    <xdr:to>
      <xdr:col>16</xdr:col>
      <xdr:colOff>441960</xdr:colOff>
      <xdr:row>175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3DF33B-C7D4-4B6A-8736-EE979D9FA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152400</xdr:colOff>
      <xdr:row>176</xdr:row>
      <xdr:rowOff>99060</xdr:rowOff>
    </xdr:from>
    <xdr:to>
      <xdr:col>16</xdr:col>
      <xdr:colOff>457200</xdr:colOff>
      <xdr:row>191</xdr:row>
      <xdr:rowOff>99060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F29567E-DF66-4D8F-84B9-A73D694E9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160020</xdr:colOff>
      <xdr:row>193</xdr:row>
      <xdr:rowOff>15240</xdr:rowOff>
    </xdr:from>
    <xdr:to>
      <xdr:col>16</xdr:col>
      <xdr:colOff>464820</xdr:colOff>
      <xdr:row>208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E4262BA-163D-4885-B80B-200FDFF9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88" refreshedDate="46001.678725578706" createdVersion="6" refreshedVersion="6" minRefreshableVersion="3" recordCount="304" xr:uid="{00000000-000A-0000-FFFF-FFFF13000000}">
  <cacheSource type="worksheet">
    <worksheetSource ref="A1:AG1048576" sheet="main_file"/>
  </cacheSource>
  <cacheFields count="20">
    <cacheField name="customerid" numFmtId="0">
      <sharedItems containsString="0" containsBlank="1" containsNumber="1" containsInteger="1" minValue="1" maxValue="303"/>
    </cacheField>
    <cacheField name="age" numFmtId="0">
      <sharedItems containsString="0" containsBlank="1" containsNumber="1" containsInteger="1" minValue="29" maxValue="77"/>
    </cacheField>
    <cacheField name="age_bin" numFmtId="0">
      <sharedItems containsBlank="1"/>
    </cacheField>
    <cacheField name="Gender" numFmtId="0">
      <sharedItems containsString="0" containsBlank="1" containsNumber="1" containsInteger="1" minValue="0" maxValue="1" count="3">
        <n v="1"/>
        <n v="0"/>
        <m/>
      </sharedItems>
    </cacheField>
    <cacheField name="Chest_pain" numFmtId="0">
      <sharedItems containsString="0" containsBlank="1" containsNumber="1" containsInteger="1" minValue="0" maxValue="3" count="5">
        <n v="0"/>
        <n v="3"/>
        <n v="2"/>
        <n v="1"/>
        <m/>
      </sharedItems>
    </cacheField>
    <cacheField name="resting_BP" numFmtId="0">
      <sharedItems containsString="0" containsBlank="1" containsNumber="1" containsInteger="1" minValue="94" maxValue="200"/>
    </cacheField>
    <cacheField name="Resting_bp_bin" numFmtId="0">
      <sharedItems containsBlank="1" count="9">
        <s v="121-150"/>
        <s v="151-180"/>
        <s v="94-120"/>
        <s v="180+"/>
        <m/>
        <s v="154-183" u="1"/>
        <s v="94-123" u="1"/>
        <s v="183+" u="1"/>
        <s v="124-153" u="1"/>
      </sharedItems>
    </cacheField>
    <cacheField name="Cholestrol" numFmtId="0">
      <sharedItems containsString="0" containsBlank="1" containsNumber="1" containsInteger="1" minValue="126" maxValue="564"/>
    </cacheField>
    <cacheField name="Cholestrol_bin" numFmtId="0">
      <sharedItems containsBlank="1"/>
    </cacheField>
    <cacheField name="Fasting_Blood_Sugar" numFmtId="0">
      <sharedItems containsString="0" containsBlank="1" containsNumber="1" containsInteger="1" minValue="0" maxValue="1"/>
    </cacheField>
    <cacheField name="Resting_Ecg_Result" numFmtId="0">
      <sharedItems containsString="0" containsBlank="1" containsNumber="1" containsInteger="1" minValue="0" maxValue="2"/>
    </cacheField>
    <cacheField name="Max_Heart_Rate" numFmtId="0">
      <sharedItems containsString="0" containsBlank="1" containsNumber="1" containsInteger="1" minValue="71" maxValue="202"/>
    </cacheField>
    <cacheField name="Heart_rate_bin" numFmtId="0">
      <sharedItems containsBlank="1"/>
    </cacheField>
    <cacheField name="Exercise_Induced_Angina" numFmtId="0">
      <sharedItems containsString="0" containsBlank="1" containsNumber="1" containsInteger="1" minValue="0" maxValue="1"/>
    </cacheField>
    <cacheField name="St_Depression" numFmtId="0">
      <sharedItems containsString="0" containsBlank="1" containsNumber="1" minValue="0" maxValue="6.2"/>
    </cacheField>
    <cacheField name="ST_Depression_bin" numFmtId="0">
      <sharedItems containsBlank="1"/>
    </cacheField>
    <cacheField name="St_Slope" numFmtId="0">
      <sharedItems containsString="0" containsBlank="1" containsNumber="1" containsInteger="1" minValue="0" maxValue="2"/>
    </cacheField>
    <cacheField name="Num_Major_Vessels" numFmtId="0">
      <sharedItems containsString="0" containsBlank="1" containsNumber="1" containsInteger="1" minValue="0" maxValue="3"/>
    </cacheField>
    <cacheField name="Thalassemia_Type" numFmtId="0">
      <sharedItems containsString="0" containsBlank="1" containsNumber="1" containsInteger="1" minValue="1" maxValue="3"/>
    </cacheField>
    <cacheField name="Heart_Disease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88" refreshedDate="46001.713398958331" createdVersion="6" refreshedVersion="6" minRefreshableVersion="3" recordCount="303" xr:uid="{00000000-000A-0000-FFFF-FFFF53000000}">
  <cacheSource type="worksheet">
    <worksheetSource ref="A1:AG304" sheet="main_file"/>
  </cacheSource>
  <cacheFields count="21">
    <cacheField name="customerid" numFmtId="0">
      <sharedItems containsSemiMixedTypes="0" containsString="0" containsNumber="1" containsInteger="1" minValue="1" maxValue="303"/>
    </cacheField>
    <cacheField name="age" numFmtId="0">
      <sharedItems containsSemiMixedTypes="0" containsString="0" containsNumber="1" containsInteger="1" minValue="29" maxValue="77"/>
    </cacheField>
    <cacheField name="age_bin" numFmtId="0">
      <sharedItems count="8">
        <s v="57-66"/>
        <s v="66+"/>
        <s v="37-46"/>
        <s v="47-56"/>
        <s v="27-36"/>
        <s v="58-66" u="1"/>
        <s v="38-46" u="1"/>
        <s v="48-56" u="1"/>
      </sharedItems>
    </cacheField>
    <cacheField name="age_woe" numFmtId="0">
      <sharedItems containsNonDate="0" containsString="0" containsBlank="1"/>
    </cacheField>
    <cacheField name="Gender" numFmtId="0">
      <sharedItems containsSemiMixedTypes="0" containsString="0" containsNumber="1" containsInteger="1" minValue="0" maxValue="1"/>
    </cacheField>
    <cacheField name="Chest_pain" numFmtId="0">
      <sharedItems containsSemiMixedTypes="0" containsString="0" containsNumber="1" containsInteger="1" minValue="0" maxValue="3"/>
    </cacheField>
    <cacheField name="resting_BP" numFmtId="0">
      <sharedItems containsSemiMixedTypes="0" containsString="0" containsNumber="1" containsInteger="1" minValue="94" maxValue="200"/>
    </cacheField>
    <cacheField name="Resting_bp_bin" numFmtId="0">
      <sharedItems/>
    </cacheField>
    <cacheField name="Cholestrol" numFmtId="0">
      <sharedItems containsSemiMixedTypes="0" containsString="0" containsNumber="1" containsInteger="1" minValue="126" maxValue="564"/>
    </cacheField>
    <cacheField name="Cholestrol_bin" numFmtId="0">
      <sharedItems count="14">
        <s v="201-250"/>
        <s v="251-300"/>
        <s v="400+"/>
        <s v="126-200"/>
        <s v="351-400"/>
        <s v="201-300" u="1"/>
        <s v="401-480" u="1"/>
        <s v="301-400" u="1"/>
        <s v="480+" u="1"/>
        <s v="401-500" u="1"/>
        <s v="500+" u="1"/>
        <s v="450+" u="1"/>
        <s v="301-380" u="1"/>
        <s v="401-450" u="1"/>
      </sharedItems>
    </cacheField>
    <cacheField name="Fasting_Blood_Sugar" numFmtId="0">
      <sharedItems containsSemiMixedTypes="0" containsString="0" containsNumber="1" containsInteger="1" minValue="0" maxValue="1" count="2">
        <n v="1"/>
        <n v="0"/>
      </sharedItems>
    </cacheField>
    <cacheField name="Resting_Ecg_Result" numFmtId="0">
      <sharedItems containsSemiMixedTypes="0" containsString="0" containsNumber="1" containsInteger="1" minValue="0" maxValue="2" count="3">
        <n v="2"/>
        <n v="0"/>
        <n v="1"/>
      </sharedItems>
    </cacheField>
    <cacheField name="Max_Heart_Rate" numFmtId="0">
      <sharedItems containsSemiMixedTypes="0" containsString="0" containsNumber="1" containsInteger="1" minValue="71" maxValue="202"/>
    </cacheField>
    <cacheField name="Heart_rate_bin" numFmtId="0">
      <sharedItems count="5">
        <s v="131-160"/>
        <s v="101-130"/>
        <s v="161-190"/>
        <s v="71-100"/>
        <s v="190+"/>
      </sharedItems>
    </cacheField>
    <cacheField name="Exercise_Induced_Angina" numFmtId="0">
      <sharedItems containsSemiMixedTypes="0" containsString="0" containsNumber="1" containsInteger="1" minValue="0" maxValue="1" count="2">
        <n v="0"/>
        <n v="1"/>
      </sharedItems>
    </cacheField>
    <cacheField name="St_Depression" numFmtId="0">
      <sharedItems containsSemiMixedTypes="0" containsString="0" containsNumber="1" minValue="0" maxValue="6.2"/>
    </cacheField>
    <cacheField name="ST_Depression_bin" numFmtId="0">
      <sharedItems count="12">
        <s v="1.6-2.8"/>
        <s v="0.1-1.5"/>
        <s v="2.9-4"/>
        <s v="4+"/>
        <s v="2-3" u="1"/>
        <s v="4-5.5" u="1"/>
        <s v="6+" u="1"/>
        <s v="5-6" u="1"/>
        <s v="3-4" u="1"/>
        <s v="1-2" u="1"/>
        <s v="5.5+" u="1"/>
        <s v="0.1-1" u="1"/>
      </sharedItems>
    </cacheField>
    <cacheField name="St_Slope" numFmtId="0">
      <sharedItems containsSemiMixedTypes="0" containsString="0" containsNumber="1" containsInteger="1" minValue="0" maxValue="2" count="3">
        <n v="2"/>
        <n v="1"/>
        <n v="0"/>
      </sharedItems>
    </cacheField>
    <cacheField name="Num_Major_Vessel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Thalassemia_Type" numFmtId="0">
      <sharedItems containsSemiMixedTypes="0" containsString="0" containsNumber="1" containsInteger="1" minValue="1" maxValue="3" count="3">
        <n v="2"/>
        <n v="1"/>
        <n v="3"/>
      </sharedItems>
    </cacheField>
    <cacheField name="Heart_Diseas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88" refreshedDate="46013.67291400463" createdVersion="6" refreshedVersion="6" minRefreshableVersion="3" recordCount="96" xr:uid="{149B723D-114C-4464-8B6F-9B158E34A812}">
  <cacheSource type="worksheet">
    <worksheetSource ref="B1:D1048576" sheet="Confusion_Matrix"/>
  </cacheSource>
  <cacheFields count="3">
    <cacheField name="customer_IDs" numFmtId="0">
      <sharedItems containsString="0" containsBlank="1" containsNumber="1" containsInteger="1" minValue="3" maxValue="302"/>
    </cacheField>
    <cacheField name="Actual_Values" numFmtId="0">
      <sharedItems containsBlank="1" count="3">
        <s v="Yes"/>
        <s v="No"/>
        <m/>
      </sharedItems>
    </cacheField>
    <cacheField name="Prediction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1"/>
    <n v="63"/>
    <s v="58-66"/>
    <x v="0"/>
    <x v="0"/>
    <n v="145"/>
    <x v="0"/>
    <n v="233"/>
    <s v="201-300"/>
    <n v="1"/>
    <n v="2"/>
    <n v="150"/>
    <s v="131-160"/>
    <n v="0"/>
    <n v="2.2999999999999998"/>
    <s v="2-3"/>
    <n v="2"/>
    <n v="0"/>
    <n v="2"/>
    <x v="0"/>
  </r>
  <r>
    <n v="2"/>
    <n v="67"/>
    <s v="66+"/>
    <x v="0"/>
    <x v="1"/>
    <n v="160"/>
    <x v="1"/>
    <n v="286"/>
    <s v="201-300"/>
    <n v="0"/>
    <n v="2"/>
    <n v="108"/>
    <s v="101-130"/>
    <n v="1"/>
    <n v="1.5"/>
    <s v="1-2"/>
    <n v="1"/>
    <n v="3"/>
    <n v="1"/>
    <x v="1"/>
  </r>
  <r>
    <n v="3"/>
    <n v="67"/>
    <s v="66+"/>
    <x v="0"/>
    <x v="1"/>
    <n v="120"/>
    <x v="2"/>
    <n v="229"/>
    <s v="201-300"/>
    <n v="0"/>
    <n v="2"/>
    <n v="129"/>
    <s v="101-130"/>
    <n v="1"/>
    <n v="2.6"/>
    <s v="2-3"/>
    <n v="1"/>
    <n v="2"/>
    <n v="3"/>
    <x v="1"/>
  </r>
  <r>
    <n v="4"/>
    <n v="37"/>
    <s v="38-46"/>
    <x v="0"/>
    <x v="2"/>
    <n v="130"/>
    <x v="0"/>
    <n v="250"/>
    <s v="201-300"/>
    <n v="0"/>
    <n v="0"/>
    <n v="187"/>
    <s v="161-190"/>
    <n v="0"/>
    <n v="3.5"/>
    <s v="3-4"/>
    <n v="2"/>
    <n v="0"/>
    <n v="1"/>
    <x v="0"/>
  </r>
  <r>
    <n v="5"/>
    <n v="41"/>
    <s v="38-46"/>
    <x v="1"/>
    <x v="3"/>
    <n v="130"/>
    <x v="0"/>
    <n v="204"/>
    <s v="201-300"/>
    <n v="0"/>
    <n v="2"/>
    <n v="172"/>
    <s v="161-190"/>
    <n v="0"/>
    <n v="1.4"/>
    <s v="1-2"/>
    <n v="0"/>
    <n v="0"/>
    <n v="1"/>
    <x v="0"/>
  </r>
  <r>
    <n v="6"/>
    <n v="56"/>
    <s v="48-56"/>
    <x v="0"/>
    <x v="3"/>
    <n v="120"/>
    <x v="2"/>
    <n v="236"/>
    <s v="201-300"/>
    <n v="0"/>
    <n v="0"/>
    <n v="178"/>
    <s v="161-190"/>
    <n v="0"/>
    <n v="0.8"/>
    <s v="0.1-1"/>
    <n v="0"/>
    <n v="0"/>
    <n v="1"/>
    <x v="0"/>
  </r>
  <r>
    <n v="7"/>
    <n v="62"/>
    <s v="58-66"/>
    <x v="1"/>
    <x v="1"/>
    <n v="140"/>
    <x v="0"/>
    <n v="268"/>
    <s v="201-300"/>
    <n v="0"/>
    <n v="2"/>
    <n v="160"/>
    <s v="131-160"/>
    <n v="0"/>
    <n v="3.6"/>
    <s v="3-4"/>
    <n v="2"/>
    <n v="2"/>
    <n v="1"/>
    <x v="1"/>
  </r>
  <r>
    <n v="8"/>
    <n v="57"/>
    <s v="58-66"/>
    <x v="1"/>
    <x v="1"/>
    <n v="120"/>
    <x v="2"/>
    <n v="354"/>
    <s v="301-400"/>
    <n v="0"/>
    <n v="0"/>
    <n v="163"/>
    <s v="161-190"/>
    <n v="1"/>
    <n v="0.6"/>
    <s v="0.1-1"/>
    <n v="0"/>
    <n v="0"/>
    <n v="1"/>
    <x v="0"/>
  </r>
  <r>
    <n v="9"/>
    <n v="63"/>
    <s v="58-66"/>
    <x v="0"/>
    <x v="1"/>
    <n v="130"/>
    <x v="0"/>
    <n v="254"/>
    <s v="201-300"/>
    <n v="0"/>
    <n v="2"/>
    <n v="147"/>
    <s v="131-160"/>
    <n v="0"/>
    <n v="1.4"/>
    <s v="1-2"/>
    <n v="1"/>
    <n v="1"/>
    <n v="3"/>
    <x v="1"/>
  </r>
  <r>
    <n v="10"/>
    <n v="53"/>
    <s v="48-56"/>
    <x v="0"/>
    <x v="1"/>
    <n v="140"/>
    <x v="0"/>
    <n v="203"/>
    <s v="201-300"/>
    <n v="1"/>
    <n v="2"/>
    <n v="155"/>
    <s v="131-160"/>
    <n v="1"/>
    <n v="3.1"/>
    <s v="3-4"/>
    <n v="2"/>
    <n v="0"/>
    <n v="3"/>
    <x v="1"/>
  </r>
  <r>
    <n v="11"/>
    <n v="57"/>
    <s v="58-66"/>
    <x v="0"/>
    <x v="1"/>
    <n v="140"/>
    <x v="0"/>
    <n v="192"/>
    <s v="126-200"/>
    <n v="0"/>
    <n v="0"/>
    <n v="148"/>
    <s v="131-160"/>
    <n v="0"/>
    <n v="0.4"/>
    <s v="0.1-1"/>
    <n v="1"/>
    <n v="0"/>
    <n v="2"/>
    <x v="0"/>
  </r>
  <r>
    <n v="12"/>
    <n v="56"/>
    <s v="48-56"/>
    <x v="1"/>
    <x v="3"/>
    <n v="140"/>
    <x v="0"/>
    <n v="294"/>
    <s v="201-300"/>
    <n v="0"/>
    <n v="2"/>
    <n v="153"/>
    <s v="131-160"/>
    <n v="0"/>
    <n v="1.3"/>
    <s v="1-2"/>
    <n v="1"/>
    <n v="0"/>
    <n v="1"/>
    <x v="0"/>
  </r>
  <r>
    <n v="13"/>
    <n v="56"/>
    <s v="48-56"/>
    <x v="0"/>
    <x v="2"/>
    <n v="130"/>
    <x v="0"/>
    <n v="256"/>
    <s v="201-300"/>
    <n v="1"/>
    <n v="2"/>
    <n v="142"/>
    <s v="131-160"/>
    <n v="1"/>
    <n v="0.6"/>
    <s v="0.1-1"/>
    <n v="1"/>
    <n v="1"/>
    <n v="2"/>
    <x v="1"/>
  </r>
  <r>
    <n v="14"/>
    <n v="44"/>
    <s v="38-46"/>
    <x v="0"/>
    <x v="3"/>
    <n v="120"/>
    <x v="2"/>
    <n v="263"/>
    <s v="201-300"/>
    <n v="0"/>
    <n v="0"/>
    <n v="173"/>
    <s v="161-190"/>
    <n v="0"/>
    <n v="0"/>
    <s v="0.1-1"/>
    <n v="0"/>
    <n v="0"/>
    <n v="3"/>
    <x v="0"/>
  </r>
  <r>
    <n v="15"/>
    <n v="52"/>
    <s v="48-56"/>
    <x v="0"/>
    <x v="2"/>
    <n v="172"/>
    <x v="1"/>
    <n v="199"/>
    <s v="126-200"/>
    <n v="1"/>
    <n v="0"/>
    <n v="162"/>
    <s v="161-190"/>
    <n v="0"/>
    <n v="0.5"/>
    <s v="0.1-1"/>
    <n v="0"/>
    <n v="0"/>
    <n v="3"/>
    <x v="0"/>
  </r>
  <r>
    <n v="16"/>
    <n v="57"/>
    <s v="58-66"/>
    <x v="0"/>
    <x v="2"/>
    <n v="150"/>
    <x v="0"/>
    <n v="168"/>
    <s v="126-200"/>
    <n v="0"/>
    <n v="0"/>
    <n v="174"/>
    <s v="161-190"/>
    <n v="0"/>
    <n v="1.6"/>
    <s v="1-2"/>
    <n v="0"/>
    <n v="0"/>
    <n v="1"/>
    <x v="0"/>
  </r>
  <r>
    <n v="17"/>
    <n v="48"/>
    <s v="48-56"/>
    <x v="0"/>
    <x v="3"/>
    <n v="110"/>
    <x v="2"/>
    <n v="229"/>
    <s v="201-300"/>
    <n v="0"/>
    <n v="0"/>
    <n v="168"/>
    <s v="161-190"/>
    <n v="0"/>
    <n v="1"/>
    <s v="0.1-1"/>
    <n v="2"/>
    <n v="0"/>
    <n v="3"/>
    <x v="1"/>
  </r>
  <r>
    <n v="18"/>
    <n v="54"/>
    <s v="48-56"/>
    <x v="0"/>
    <x v="1"/>
    <n v="140"/>
    <x v="0"/>
    <n v="239"/>
    <s v="201-300"/>
    <n v="0"/>
    <n v="0"/>
    <n v="160"/>
    <s v="131-160"/>
    <n v="0"/>
    <n v="1.2"/>
    <s v="1-2"/>
    <n v="0"/>
    <n v="0"/>
    <n v="1"/>
    <x v="0"/>
  </r>
  <r>
    <n v="19"/>
    <n v="48"/>
    <s v="48-56"/>
    <x v="1"/>
    <x v="2"/>
    <n v="130"/>
    <x v="0"/>
    <n v="275"/>
    <s v="201-300"/>
    <n v="0"/>
    <n v="0"/>
    <n v="139"/>
    <s v="131-160"/>
    <n v="0"/>
    <n v="0.2"/>
    <s v="0.1-1"/>
    <n v="0"/>
    <n v="0"/>
    <n v="1"/>
    <x v="0"/>
  </r>
  <r>
    <n v="20"/>
    <n v="49"/>
    <s v="48-56"/>
    <x v="0"/>
    <x v="3"/>
    <n v="130"/>
    <x v="0"/>
    <n v="266"/>
    <s v="201-300"/>
    <n v="0"/>
    <n v="0"/>
    <n v="171"/>
    <s v="161-190"/>
    <n v="0"/>
    <n v="0.6"/>
    <s v="0.1-1"/>
    <n v="0"/>
    <n v="0"/>
    <n v="1"/>
    <x v="0"/>
  </r>
  <r>
    <n v="21"/>
    <n v="64"/>
    <s v="58-66"/>
    <x v="0"/>
    <x v="0"/>
    <n v="110"/>
    <x v="2"/>
    <n v="211"/>
    <s v="201-300"/>
    <n v="0"/>
    <n v="2"/>
    <n v="144"/>
    <s v="131-160"/>
    <n v="1"/>
    <n v="1.8"/>
    <s v="1-2"/>
    <n v="1"/>
    <n v="0"/>
    <n v="1"/>
    <x v="0"/>
  </r>
  <r>
    <n v="22"/>
    <n v="58"/>
    <s v="58-66"/>
    <x v="1"/>
    <x v="0"/>
    <n v="150"/>
    <x v="0"/>
    <n v="283"/>
    <s v="201-300"/>
    <n v="1"/>
    <n v="2"/>
    <n v="162"/>
    <s v="161-190"/>
    <n v="0"/>
    <n v="1"/>
    <s v="0.1-1"/>
    <n v="0"/>
    <n v="0"/>
    <n v="1"/>
    <x v="0"/>
  </r>
  <r>
    <n v="23"/>
    <n v="58"/>
    <s v="58-66"/>
    <x v="0"/>
    <x v="3"/>
    <n v="120"/>
    <x v="2"/>
    <n v="284"/>
    <s v="201-300"/>
    <n v="0"/>
    <n v="2"/>
    <n v="160"/>
    <s v="131-160"/>
    <n v="0"/>
    <n v="1.8"/>
    <s v="1-2"/>
    <n v="1"/>
    <n v="0"/>
    <n v="1"/>
    <x v="1"/>
  </r>
  <r>
    <n v="24"/>
    <n v="58"/>
    <s v="58-66"/>
    <x v="0"/>
    <x v="2"/>
    <n v="132"/>
    <x v="0"/>
    <n v="224"/>
    <s v="201-300"/>
    <n v="0"/>
    <n v="2"/>
    <n v="173"/>
    <s v="161-190"/>
    <n v="0"/>
    <n v="3.2"/>
    <s v="3-4"/>
    <n v="0"/>
    <n v="2"/>
    <n v="3"/>
    <x v="1"/>
  </r>
  <r>
    <n v="25"/>
    <n v="60"/>
    <s v="58-66"/>
    <x v="0"/>
    <x v="1"/>
    <n v="130"/>
    <x v="0"/>
    <n v="206"/>
    <s v="201-300"/>
    <n v="0"/>
    <n v="2"/>
    <n v="132"/>
    <s v="131-160"/>
    <n v="1"/>
    <n v="2.4"/>
    <s v="2-3"/>
    <n v="1"/>
    <n v="2"/>
    <n v="3"/>
    <x v="1"/>
  </r>
  <r>
    <n v="26"/>
    <n v="50"/>
    <s v="48-56"/>
    <x v="1"/>
    <x v="2"/>
    <n v="120"/>
    <x v="2"/>
    <n v="219"/>
    <s v="201-300"/>
    <n v="0"/>
    <n v="0"/>
    <n v="158"/>
    <s v="131-160"/>
    <n v="0"/>
    <n v="1.6"/>
    <s v="1-2"/>
    <n v="1"/>
    <n v="0"/>
    <n v="1"/>
    <x v="0"/>
  </r>
  <r>
    <n v="27"/>
    <n v="58"/>
    <s v="58-66"/>
    <x v="1"/>
    <x v="2"/>
    <n v="120"/>
    <x v="2"/>
    <n v="340"/>
    <s v="301-400"/>
    <n v="0"/>
    <n v="0"/>
    <n v="172"/>
    <s v="161-190"/>
    <n v="0"/>
    <n v="0"/>
    <s v="0.1-1"/>
    <n v="0"/>
    <n v="0"/>
    <n v="1"/>
    <x v="0"/>
  </r>
  <r>
    <n v="28"/>
    <n v="66"/>
    <s v="58-66"/>
    <x v="1"/>
    <x v="0"/>
    <n v="150"/>
    <x v="0"/>
    <n v="226"/>
    <s v="201-300"/>
    <n v="0"/>
    <n v="0"/>
    <n v="114"/>
    <s v="101-130"/>
    <n v="0"/>
    <n v="2.6"/>
    <s v="2-3"/>
    <n v="2"/>
    <n v="0"/>
    <n v="1"/>
    <x v="0"/>
  </r>
  <r>
    <n v="29"/>
    <n v="43"/>
    <s v="38-46"/>
    <x v="0"/>
    <x v="1"/>
    <n v="150"/>
    <x v="0"/>
    <n v="247"/>
    <s v="201-300"/>
    <n v="0"/>
    <n v="0"/>
    <n v="171"/>
    <s v="161-190"/>
    <n v="0"/>
    <n v="1.5"/>
    <s v="1-2"/>
    <n v="0"/>
    <n v="0"/>
    <n v="1"/>
    <x v="0"/>
  </r>
  <r>
    <n v="30"/>
    <n v="40"/>
    <s v="38-46"/>
    <x v="0"/>
    <x v="1"/>
    <n v="110"/>
    <x v="2"/>
    <n v="167"/>
    <s v="126-200"/>
    <n v="0"/>
    <n v="2"/>
    <n v="114"/>
    <s v="101-130"/>
    <n v="1"/>
    <n v="2"/>
    <s v="1-2"/>
    <n v="1"/>
    <n v="0"/>
    <n v="3"/>
    <x v="1"/>
  </r>
  <r>
    <n v="31"/>
    <n v="69"/>
    <s v="66+"/>
    <x v="1"/>
    <x v="0"/>
    <n v="140"/>
    <x v="0"/>
    <n v="239"/>
    <s v="201-300"/>
    <n v="0"/>
    <n v="0"/>
    <n v="151"/>
    <s v="131-160"/>
    <n v="0"/>
    <n v="1.8"/>
    <s v="1-2"/>
    <n v="0"/>
    <n v="2"/>
    <n v="1"/>
    <x v="0"/>
  </r>
  <r>
    <n v="32"/>
    <n v="60"/>
    <s v="58-66"/>
    <x v="0"/>
    <x v="1"/>
    <n v="117"/>
    <x v="2"/>
    <n v="230"/>
    <s v="201-300"/>
    <n v="1"/>
    <n v="0"/>
    <n v="160"/>
    <s v="131-160"/>
    <n v="1"/>
    <n v="1.4"/>
    <s v="1-2"/>
    <n v="0"/>
    <n v="2"/>
    <n v="3"/>
    <x v="1"/>
  </r>
  <r>
    <n v="33"/>
    <n v="64"/>
    <s v="58-66"/>
    <x v="0"/>
    <x v="2"/>
    <n v="140"/>
    <x v="0"/>
    <n v="335"/>
    <s v="301-400"/>
    <n v="0"/>
    <n v="0"/>
    <n v="158"/>
    <s v="131-160"/>
    <n v="0"/>
    <n v="0"/>
    <s v="0.1-1"/>
    <n v="0"/>
    <n v="0"/>
    <n v="1"/>
    <x v="1"/>
  </r>
  <r>
    <n v="34"/>
    <n v="59"/>
    <s v="58-66"/>
    <x v="0"/>
    <x v="1"/>
    <n v="135"/>
    <x v="0"/>
    <n v="234"/>
    <s v="201-300"/>
    <n v="0"/>
    <n v="0"/>
    <n v="161"/>
    <s v="161-190"/>
    <n v="0"/>
    <n v="0.5"/>
    <s v="0.1-1"/>
    <n v="1"/>
    <n v="0"/>
    <n v="3"/>
    <x v="0"/>
  </r>
  <r>
    <n v="35"/>
    <n v="44"/>
    <s v="38-46"/>
    <x v="0"/>
    <x v="2"/>
    <n v="130"/>
    <x v="0"/>
    <n v="233"/>
    <s v="201-300"/>
    <n v="0"/>
    <n v="0"/>
    <n v="179"/>
    <s v="161-190"/>
    <n v="1"/>
    <n v="0.4"/>
    <s v="0.1-1"/>
    <n v="0"/>
    <n v="0"/>
    <n v="1"/>
    <x v="0"/>
  </r>
  <r>
    <n v="36"/>
    <n v="42"/>
    <s v="38-46"/>
    <x v="0"/>
    <x v="1"/>
    <n v="140"/>
    <x v="0"/>
    <n v="226"/>
    <s v="201-300"/>
    <n v="0"/>
    <n v="0"/>
    <n v="178"/>
    <s v="161-190"/>
    <n v="0"/>
    <n v="0"/>
    <s v="0.1-1"/>
    <n v="0"/>
    <n v="0"/>
    <n v="1"/>
    <x v="0"/>
  </r>
  <r>
    <n v="37"/>
    <n v="43"/>
    <s v="38-46"/>
    <x v="0"/>
    <x v="1"/>
    <n v="120"/>
    <x v="2"/>
    <n v="177"/>
    <s v="126-200"/>
    <n v="0"/>
    <n v="2"/>
    <n v="120"/>
    <s v="101-130"/>
    <n v="1"/>
    <n v="2.5"/>
    <s v="2-3"/>
    <n v="1"/>
    <n v="0"/>
    <n v="3"/>
    <x v="1"/>
  </r>
  <r>
    <n v="38"/>
    <n v="57"/>
    <s v="58-66"/>
    <x v="0"/>
    <x v="1"/>
    <n v="150"/>
    <x v="0"/>
    <n v="276"/>
    <s v="201-300"/>
    <n v="0"/>
    <n v="2"/>
    <n v="112"/>
    <s v="101-130"/>
    <n v="1"/>
    <n v="0.6"/>
    <s v="0.1-1"/>
    <n v="1"/>
    <n v="1"/>
    <n v="2"/>
    <x v="1"/>
  </r>
  <r>
    <n v="39"/>
    <n v="55"/>
    <s v="48-56"/>
    <x v="0"/>
    <x v="1"/>
    <n v="132"/>
    <x v="0"/>
    <n v="353"/>
    <s v="301-400"/>
    <n v="0"/>
    <n v="0"/>
    <n v="132"/>
    <s v="131-160"/>
    <n v="1"/>
    <n v="1.2"/>
    <s v="1-2"/>
    <n v="1"/>
    <n v="1"/>
    <n v="3"/>
    <x v="1"/>
  </r>
  <r>
    <n v="40"/>
    <n v="61"/>
    <s v="58-66"/>
    <x v="0"/>
    <x v="2"/>
    <n v="150"/>
    <x v="0"/>
    <n v="243"/>
    <s v="201-300"/>
    <n v="1"/>
    <n v="0"/>
    <n v="137"/>
    <s v="131-160"/>
    <n v="1"/>
    <n v="1"/>
    <s v="0.1-1"/>
    <n v="1"/>
    <n v="0"/>
    <n v="1"/>
    <x v="0"/>
  </r>
  <r>
    <n v="41"/>
    <n v="65"/>
    <s v="58-66"/>
    <x v="1"/>
    <x v="1"/>
    <n v="150"/>
    <x v="0"/>
    <n v="225"/>
    <s v="201-300"/>
    <n v="0"/>
    <n v="2"/>
    <n v="114"/>
    <s v="101-130"/>
    <n v="0"/>
    <n v="1"/>
    <s v="0.1-1"/>
    <n v="1"/>
    <n v="3"/>
    <n v="3"/>
    <x v="1"/>
  </r>
  <r>
    <n v="42"/>
    <n v="40"/>
    <s v="38-46"/>
    <x v="0"/>
    <x v="0"/>
    <n v="140"/>
    <x v="0"/>
    <n v="199"/>
    <s v="126-200"/>
    <n v="0"/>
    <n v="0"/>
    <n v="178"/>
    <s v="161-190"/>
    <n v="1"/>
    <n v="1.4"/>
    <s v="1-2"/>
    <n v="0"/>
    <n v="0"/>
    <n v="3"/>
    <x v="0"/>
  </r>
  <r>
    <n v="43"/>
    <n v="71"/>
    <s v="66+"/>
    <x v="1"/>
    <x v="3"/>
    <n v="160"/>
    <x v="1"/>
    <n v="302"/>
    <s v="301-400"/>
    <n v="0"/>
    <n v="0"/>
    <n v="162"/>
    <s v="161-190"/>
    <n v="0"/>
    <n v="0.4"/>
    <s v="0.1-1"/>
    <n v="0"/>
    <n v="2"/>
    <n v="1"/>
    <x v="0"/>
  </r>
  <r>
    <n v="44"/>
    <n v="59"/>
    <s v="58-66"/>
    <x v="0"/>
    <x v="2"/>
    <n v="150"/>
    <x v="0"/>
    <n v="212"/>
    <s v="201-300"/>
    <n v="1"/>
    <n v="0"/>
    <n v="157"/>
    <s v="131-160"/>
    <n v="0"/>
    <n v="1.6"/>
    <s v="1-2"/>
    <n v="0"/>
    <n v="0"/>
    <n v="1"/>
    <x v="0"/>
  </r>
  <r>
    <n v="45"/>
    <n v="61"/>
    <s v="58-66"/>
    <x v="1"/>
    <x v="1"/>
    <n v="130"/>
    <x v="0"/>
    <n v="330"/>
    <s v="301-400"/>
    <n v="0"/>
    <n v="2"/>
    <n v="169"/>
    <s v="161-190"/>
    <n v="0"/>
    <n v="0"/>
    <s v="0.1-1"/>
    <n v="0"/>
    <n v="0"/>
    <n v="1"/>
    <x v="1"/>
  </r>
  <r>
    <n v="46"/>
    <n v="58"/>
    <s v="58-66"/>
    <x v="0"/>
    <x v="2"/>
    <n v="112"/>
    <x v="2"/>
    <n v="230"/>
    <s v="201-300"/>
    <n v="0"/>
    <n v="2"/>
    <n v="165"/>
    <s v="161-190"/>
    <n v="0"/>
    <n v="2.5"/>
    <s v="2-3"/>
    <n v="1"/>
    <n v="1"/>
    <n v="3"/>
    <x v="1"/>
  </r>
  <r>
    <n v="47"/>
    <n v="51"/>
    <s v="48-56"/>
    <x v="0"/>
    <x v="2"/>
    <n v="110"/>
    <x v="2"/>
    <n v="175"/>
    <s v="126-200"/>
    <n v="0"/>
    <n v="0"/>
    <n v="123"/>
    <s v="101-130"/>
    <n v="0"/>
    <n v="0.6"/>
    <s v="0.1-1"/>
    <n v="0"/>
    <n v="0"/>
    <n v="1"/>
    <x v="0"/>
  </r>
  <r>
    <n v="48"/>
    <n v="50"/>
    <s v="48-56"/>
    <x v="0"/>
    <x v="1"/>
    <n v="150"/>
    <x v="0"/>
    <n v="243"/>
    <s v="201-300"/>
    <n v="0"/>
    <n v="2"/>
    <n v="128"/>
    <s v="101-130"/>
    <n v="0"/>
    <n v="2.6"/>
    <s v="2-3"/>
    <n v="1"/>
    <n v="0"/>
    <n v="3"/>
    <x v="1"/>
  </r>
  <r>
    <n v="49"/>
    <n v="65"/>
    <s v="58-66"/>
    <x v="1"/>
    <x v="2"/>
    <n v="140"/>
    <x v="0"/>
    <n v="417"/>
    <s v="401-500"/>
    <n v="1"/>
    <n v="2"/>
    <n v="157"/>
    <s v="131-160"/>
    <n v="0"/>
    <n v="0.8"/>
    <s v="0.1-1"/>
    <n v="0"/>
    <n v="1"/>
    <n v="1"/>
    <x v="0"/>
  </r>
  <r>
    <n v="50"/>
    <n v="53"/>
    <s v="48-56"/>
    <x v="0"/>
    <x v="2"/>
    <n v="130"/>
    <x v="0"/>
    <n v="197"/>
    <s v="126-200"/>
    <n v="1"/>
    <n v="2"/>
    <n v="152"/>
    <s v="131-160"/>
    <n v="0"/>
    <n v="1.2"/>
    <s v="1-2"/>
    <n v="2"/>
    <n v="0"/>
    <n v="1"/>
    <x v="0"/>
  </r>
  <r>
    <n v="51"/>
    <n v="41"/>
    <s v="38-46"/>
    <x v="1"/>
    <x v="3"/>
    <n v="105"/>
    <x v="2"/>
    <n v="198"/>
    <s v="126-200"/>
    <n v="0"/>
    <n v="0"/>
    <n v="168"/>
    <s v="161-190"/>
    <n v="0"/>
    <n v="0"/>
    <s v="0.1-1"/>
    <n v="0"/>
    <n v="1"/>
    <n v="1"/>
    <x v="0"/>
  </r>
  <r>
    <n v="52"/>
    <n v="65"/>
    <s v="58-66"/>
    <x v="0"/>
    <x v="1"/>
    <n v="120"/>
    <x v="2"/>
    <n v="177"/>
    <s v="126-200"/>
    <n v="0"/>
    <n v="0"/>
    <n v="140"/>
    <s v="131-160"/>
    <n v="0"/>
    <n v="0.4"/>
    <s v="0.1-1"/>
    <n v="0"/>
    <n v="0"/>
    <n v="3"/>
    <x v="0"/>
  </r>
  <r>
    <n v="53"/>
    <n v="44"/>
    <s v="38-46"/>
    <x v="0"/>
    <x v="1"/>
    <n v="112"/>
    <x v="2"/>
    <n v="290"/>
    <s v="201-300"/>
    <n v="0"/>
    <n v="2"/>
    <n v="153"/>
    <s v="131-160"/>
    <n v="0"/>
    <n v="0"/>
    <s v="0.1-1"/>
    <n v="0"/>
    <n v="1"/>
    <n v="1"/>
    <x v="1"/>
  </r>
  <r>
    <n v="54"/>
    <n v="44"/>
    <s v="38-46"/>
    <x v="0"/>
    <x v="3"/>
    <n v="130"/>
    <x v="0"/>
    <n v="219"/>
    <s v="201-300"/>
    <n v="0"/>
    <n v="2"/>
    <n v="188"/>
    <s v="161-190"/>
    <n v="0"/>
    <n v="0"/>
    <s v="0.1-1"/>
    <n v="0"/>
    <n v="0"/>
    <n v="1"/>
    <x v="0"/>
  </r>
  <r>
    <n v="55"/>
    <n v="60"/>
    <s v="58-66"/>
    <x v="0"/>
    <x v="1"/>
    <n v="130"/>
    <x v="0"/>
    <n v="253"/>
    <s v="201-300"/>
    <n v="0"/>
    <n v="0"/>
    <n v="144"/>
    <s v="131-160"/>
    <n v="1"/>
    <n v="1.4"/>
    <s v="1-2"/>
    <n v="0"/>
    <n v="1"/>
    <n v="3"/>
    <x v="1"/>
  </r>
  <r>
    <n v="56"/>
    <n v="54"/>
    <s v="48-56"/>
    <x v="0"/>
    <x v="1"/>
    <n v="124"/>
    <x v="0"/>
    <n v="266"/>
    <s v="201-300"/>
    <n v="0"/>
    <n v="2"/>
    <n v="109"/>
    <s v="101-130"/>
    <n v="1"/>
    <n v="2.2000000000000002"/>
    <s v="2-3"/>
    <n v="1"/>
    <n v="1"/>
    <n v="3"/>
    <x v="1"/>
  </r>
  <r>
    <n v="57"/>
    <n v="50"/>
    <s v="48-56"/>
    <x v="0"/>
    <x v="2"/>
    <n v="140"/>
    <x v="0"/>
    <n v="233"/>
    <s v="201-300"/>
    <n v="0"/>
    <n v="0"/>
    <n v="163"/>
    <s v="161-190"/>
    <n v="0"/>
    <n v="0.6"/>
    <s v="0.1-1"/>
    <n v="1"/>
    <n v="1"/>
    <n v="3"/>
    <x v="1"/>
  </r>
  <r>
    <n v="58"/>
    <n v="41"/>
    <s v="38-46"/>
    <x v="0"/>
    <x v="1"/>
    <n v="110"/>
    <x v="2"/>
    <n v="172"/>
    <s v="126-200"/>
    <n v="0"/>
    <n v="2"/>
    <n v="158"/>
    <s v="131-160"/>
    <n v="0"/>
    <n v="0"/>
    <s v="0.1-1"/>
    <n v="0"/>
    <n v="0"/>
    <n v="3"/>
    <x v="1"/>
  </r>
  <r>
    <n v="59"/>
    <n v="54"/>
    <s v="48-56"/>
    <x v="0"/>
    <x v="2"/>
    <n v="125"/>
    <x v="0"/>
    <n v="273"/>
    <s v="201-300"/>
    <n v="0"/>
    <n v="2"/>
    <n v="152"/>
    <s v="131-160"/>
    <n v="0"/>
    <n v="0.5"/>
    <s v="0.1-1"/>
    <n v="2"/>
    <n v="1"/>
    <n v="1"/>
    <x v="0"/>
  </r>
  <r>
    <n v="60"/>
    <n v="51"/>
    <s v="48-56"/>
    <x v="0"/>
    <x v="0"/>
    <n v="125"/>
    <x v="0"/>
    <n v="213"/>
    <s v="201-300"/>
    <n v="0"/>
    <n v="2"/>
    <n v="125"/>
    <s v="101-130"/>
    <n v="1"/>
    <n v="1.4"/>
    <s v="1-2"/>
    <n v="0"/>
    <n v="1"/>
    <n v="1"/>
    <x v="0"/>
  </r>
  <r>
    <n v="61"/>
    <n v="51"/>
    <s v="48-56"/>
    <x v="1"/>
    <x v="1"/>
    <n v="130"/>
    <x v="0"/>
    <n v="305"/>
    <s v="301-400"/>
    <n v="0"/>
    <n v="0"/>
    <n v="142"/>
    <s v="131-160"/>
    <n v="1"/>
    <n v="1.2"/>
    <s v="1-2"/>
    <n v="1"/>
    <n v="0"/>
    <n v="3"/>
    <x v="1"/>
  </r>
  <r>
    <n v="62"/>
    <n v="46"/>
    <s v="38-46"/>
    <x v="1"/>
    <x v="2"/>
    <n v="142"/>
    <x v="0"/>
    <n v="177"/>
    <s v="126-200"/>
    <n v="0"/>
    <n v="2"/>
    <n v="160"/>
    <s v="131-160"/>
    <n v="1"/>
    <n v="1.4"/>
    <s v="1-2"/>
    <n v="2"/>
    <n v="0"/>
    <n v="1"/>
    <x v="0"/>
  </r>
  <r>
    <n v="63"/>
    <n v="58"/>
    <s v="58-66"/>
    <x v="0"/>
    <x v="1"/>
    <n v="128"/>
    <x v="0"/>
    <n v="216"/>
    <s v="201-300"/>
    <n v="0"/>
    <n v="2"/>
    <n v="131"/>
    <s v="131-160"/>
    <n v="1"/>
    <n v="2.2000000000000002"/>
    <s v="2-3"/>
    <n v="1"/>
    <n v="3"/>
    <n v="3"/>
    <x v="1"/>
  </r>
  <r>
    <n v="64"/>
    <n v="54"/>
    <s v="48-56"/>
    <x v="1"/>
    <x v="2"/>
    <n v="135"/>
    <x v="0"/>
    <n v="304"/>
    <s v="301-400"/>
    <n v="1"/>
    <n v="0"/>
    <n v="170"/>
    <s v="161-190"/>
    <n v="0"/>
    <n v="0"/>
    <s v="0.1-1"/>
    <n v="0"/>
    <n v="0"/>
    <n v="1"/>
    <x v="0"/>
  </r>
  <r>
    <n v="65"/>
    <n v="54"/>
    <s v="48-56"/>
    <x v="0"/>
    <x v="1"/>
    <n v="120"/>
    <x v="2"/>
    <n v="188"/>
    <s v="126-200"/>
    <n v="0"/>
    <n v="0"/>
    <n v="113"/>
    <s v="101-130"/>
    <n v="0"/>
    <n v="1.4"/>
    <s v="1-2"/>
    <n v="1"/>
    <n v="1"/>
    <n v="3"/>
    <x v="1"/>
  </r>
  <r>
    <n v="66"/>
    <n v="60"/>
    <s v="58-66"/>
    <x v="0"/>
    <x v="1"/>
    <n v="145"/>
    <x v="0"/>
    <n v="282"/>
    <s v="201-300"/>
    <n v="0"/>
    <n v="2"/>
    <n v="142"/>
    <s v="131-160"/>
    <n v="1"/>
    <n v="2.8"/>
    <s v="2-3"/>
    <n v="1"/>
    <n v="2"/>
    <n v="3"/>
    <x v="1"/>
  </r>
  <r>
    <n v="67"/>
    <n v="60"/>
    <s v="58-66"/>
    <x v="0"/>
    <x v="2"/>
    <n v="140"/>
    <x v="0"/>
    <n v="185"/>
    <s v="126-200"/>
    <n v="0"/>
    <n v="2"/>
    <n v="155"/>
    <s v="131-160"/>
    <n v="0"/>
    <n v="3"/>
    <s v="2-3"/>
    <n v="1"/>
    <n v="0"/>
    <n v="1"/>
    <x v="1"/>
  </r>
  <r>
    <n v="68"/>
    <n v="54"/>
    <s v="48-56"/>
    <x v="0"/>
    <x v="2"/>
    <n v="150"/>
    <x v="0"/>
    <n v="232"/>
    <s v="201-300"/>
    <n v="0"/>
    <n v="2"/>
    <n v="165"/>
    <s v="161-190"/>
    <n v="0"/>
    <n v="1.6"/>
    <s v="1-2"/>
    <n v="0"/>
    <n v="0"/>
    <n v="3"/>
    <x v="0"/>
  </r>
  <r>
    <n v="69"/>
    <n v="59"/>
    <s v="58-66"/>
    <x v="0"/>
    <x v="1"/>
    <n v="170"/>
    <x v="1"/>
    <n v="326"/>
    <s v="301-400"/>
    <n v="0"/>
    <n v="2"/>
    <n v="140"/>
    <s v="131-160"/>
    <n v="1"/>
    <n v="3.4"/>
    <s v="3-4"/>
    <n v="2"/>
    <n v="0"/>
    <n v="3"/>
    <x v="1"/>
  </r>
  <r>
    <n v="70"/>
    <n v="46"/>
    <s v="38-46"/>
    <x v="0"/>
    <x v="2"/>
    <n v="150"/>
    <x v="0"/>
    <n v="231"/>
    <s v="201-300"/>
    <n v="0"/>
    <n v="0"/>
    <n v="147"/>
    <s v="131-160"/>
    <n v="0"/>
    <n v="3.6"/>
    <s v="3-4"/>
    <n v="1"/>
    <n v="0"/>
    <n v="1"/>
    <x v="1"/>
  </r>
  <r>
    <n v="71"/>
    <n v="65"/>
    <s v="58-66"/>
    <x v="1"/>
    <x v="2"/>
    <n v="155"/>
    <x v="1"/>
    <n v="269"/>
    <s v="201-300"/>
    <n v="0"/>
    <n v="0"/>
    <n v="148"/>
    <s v="131-160"/>
    <n v="0"/>
    <n v="0.8"/>
    <s v="0.1-1"/>
    <n v="0"/>
    <n v="0"/>
    <n v="1"/>
    <x v="0"/>
  </r>
  <r>
    <n v="72"/>
    <n v="67"/>
    <s v="66+"/>
    <x v="0"/>
    <x v="1"/>
    <n v="125"/>
    <x v="0"/>
    <n v="254"/>
    <s v="201-300"/>
    <n v="1"/>
    <n v="0"/>
    <n v="163"/>
    <s v="161-190"/>
    <n v="0"/>
    <n v="0.2"/>
    <s v="0.1-1"/>
    <n v="1"/>
    <n v="2"/>
    <n v="3"/>
    <x v="1"/>
  </r>
  <r>
    <n v="73"/>
    <n v="62"/>
    <s v="58-66"/>
    <x v="0"/>
    <x v="1"/>
    <n v="120"/>
    <x v="2"/>
    <n v="267"/>
    <s v="201-300"/>
    <n v="0"/>
    <n v="0"/>
    <n v="99"/>
    <s v="71-100"/>
    <n v="1"/>
    <n v="1.8"/>
    <s v="1-2"/>
    <n v="1"/>
    <n v="2"/>
    <n v="3"/>
    <x v="1"/>
  </r>
  <r>
    <n v="74"/>
    <n v="65"/>
    <s v="58-66"/>
    <x v="0"/>
    <x v="1"/>
    <n v="110"/>
    <x v="2"/>
    <n v="248"/>
    <s v="201-300"/>
    <n v="0"/>
    <n v="2"/>
    <n v="158"/>
    <s v="131-160"/>
    <n v="0"/>
    <n v="0.6"/>
    <s v="0.1-1"/>
    <n v="0"/>
    <n v="2"/>
    <n v="2"/>
    <x v="1"/>
  </r>
  <r>
    <n v="75"/>
    <n v="44"/>
    <s v="38-46"/>
    <x v="0"/>
    <x v="1"/>
    <n v="110"/>
    <x v="2"/>
    <n v="197"/>
    <s v="126-200"/>
    <n v="0"/>
    <n v="2"/>
    <n v="177"/>
    <s v="161-190"/>
    <n v="0"/>
    <n v="0"/>
    <s v="0.1-1"/>
    <n v="0"/>
    <n v="1"/>
    <n v="1"/>
    <x v="1"/>
  </r>
  <r>
    <n v="76"/>
    <n v="65"/>
    <s v="58-66"/>
    <x v="1"/>
    <x v="2"/>
    <n v="160"/>
    <x v="1"/>
    <n v="360"/>
    <s v="301-400"/>
    <n v="0"/>
    <n v="2"/>
    <n v="151"/>
    <s v="131-160"/>
    <n v="0"/>
    <n v="0.8"/>
    <s v="0.1-1"/>
    <n v="0"/>
    <n v="0"/>
    <n v="1"/>
    <x v="0"/>
  </r>
  <r>
    <n v="77"/>
    <n v="60"/>
    <s v="58-66"/>
    <x v="0"/>
    <x v="1"/>
    <n v="125"/>
    <x v="0"/>
    <n v="258"/>
    <s v="201-300"/>
    <n v="0"/>
    <n v="2"/>
    <n v="141"/>
    <s v="131-160"/>
    <n v="1"/>
    <n v="2.8"/>
    <s v="2-3"/>
    <n v="1"/>
    <n v="1"/>
    <n v="3"/>
    <x v="1"/>
  </r>
  <r>
    <n v="78"/>
    <n v="51"/>
    <s v="48-56"/>
    <x v="1"/>
    <x v="2"/>
    <n v="140"/>
    <x v="0"/>
    <n v="308"/>
    <s v="301-400"/>
    <n v="0"/>
    <n v="2"/>
    <n v="142"/>
    <s v="131-160"/>
    <n v="0"/>
    <n v="1.5"/>
    <s v="1-2"/>
    <n v="0"/>
    <n v="1"/>
    <n v="1"/>
    <x v="0"/>
  </r>
  <r>
    <n v="79"/>
    <n v="48"/>
    <s v="48-56"/>
    <x v="0"/>
    <x v="3"/>
    <n v="130"/>
    <x v="0"/>
    <n v="245"/>
    <s v="201-300"/>
    <n v="0"/>
    <n v="2"/>
    <n v="180"/>
    <s v="161-190"/>
    <n v="0"/>
    <n v="0.2"/>
    <s v="0.1-1"/>
    <n v="1"/>
    <n v="0"/>
    <n v="1"/>
    <x v="0"/>
  </r>
  <r>
    <n v="80"/>
    <n v="58"/>
    <s v="58-66"/>
    <x v="0"/>
    <x v="1"/>
    <n v="150"/>
    <x v="0"/>
    <n v="270"/>
    <s v="201-300"/>
    <n v="0"/>
    <n v="2"/>
    <n v="111"/>
    <s v="101-130"/>
    <n v="1"/>
    <n v="0.8"/>
    <s v="0.1-1"/>
    <n v="0"/>
    <n v="0"/>
    <n v="3"/>
    <x v="1"/>
  </r>
  <r>
    <n v="81"/>
    <n v="45"/>
    <s v="38-46"/>
    <x v="0"/>
    <x v="1"/>
    <n v="104"/>
    <x v="2"/>
    <n v="208"/>
    <s v="201-300"/>
    <n v="0"/>
    <n v="2"/>
    <n v="148"/>
    <s v="131-160"/>
    <n v="1"/>
    <n v="3"/>
    <s v="2-3"/>
    <n v="1"/>
    <n v="0"/>
    <n v="1"/>
    <x v="0"/>
  </r>
  <r>
    <n v="82"/>
    <n v="53"/>
    <s v="48-56"/>
    <x v="1"/>
    <x v="1"/>
    <n v="130"/>
    <x v="0"/>
    <n v="264"/>
    <s v="201-300"/>
    <n v="0"/>
    <n v="2"/>
    <n v="143"/>
    <s v="131-160"/>
    <n v="0"/>
    <n v="0.4"/>
    <s v="0.1-1"/>
    <n v="1"/>
    <n v="0"/>
    <n v="1"/>
    <x v="0"/>
  </r>
  <r>
    <n v="83"/>
    <n v="39"/>
    <s v="38-46"/>
    <x v="0"/>
    <x v="2"/>
    <n v="140"/>
    <x v="0"/>
    <n v="321"/>
    <s v="301-400"/>
    <n v="0"/>
    <n v="2"/>
    <n v="182"/>
    <s v="161-190"/>
    <n v="0"/>
    <n v="0"/>
    <s v="0.1-1"/>
    <n v="0"/>
    <n v="0"/>
    <n v="1"/>
    <x v="0"/>
  </r>
  <r>
    <n v="84"/>
    <n v="68"/>
    <s v="66+"/>
    <x v="0"/>
    <x v="2"/>
    <n v="180"/>
    <x v="3"/>
    <n v="274"/>
    <s v="201-300"/>
    <n v="1"/>
    <n v="2"/>
    <n v="150"/>
    <s v="131-160"/>
    <n v="1"/>
    <n v="1.6"/>
    <s v="1-2"/>
    <n v="1"/>
    <n v="0"/>
    <n v="3"/>
    <x v="1"/>
  </r>
  <r>
    <n v="85"/>
    <n v="52"/>
    <s v="48-56"/>
    <x v="0"/>
    <x v="3"/>
    <n v="120"/>
    <x v="2"/>
    <n v="325"/>
    <s v="301-400"/>
    <n v="0"/>
    <n v="0"/>
    <n v="172"/>
    <s v="161-190"/>
    <n v="0"/>
    <n v="0.2"/>
    <s v="0.1-1"/>
    <n v="0"/>
    <n v="0"/>
    <n v="1"/>
    <x v="0"/>
  </r>
  <r>
    <n v="86"/>
    <n v="44"/>
    <s v="38-46"/>
    <x v="0"/>
    <x v="2"/>
    <n v="140"/>
    <x v="0"/>
    <n v="235"/>
    <s v="201-300"/>
    <n v="0"/>
    <n v="2"/>
    <n v="180"/>
    <s v="161-190"/>
    <n v="0"/>
    <n v="0"/>
    <s v="0.1-1"/>
    <n v="0"/>
    <n v="0"/>
    <n v="1"/>
    <x v="0"/>
  </r>
  <r>
    <n v="87"/>
    <n v="47"/>
    <s v="48-56"/>
    <x v="0"/>
    <x v="2"/>
    <n v="138"/>
    <x v="0"/>
    <n v="257"/>
    <s v="201-300"/>
    <n v="0"/>
    <n v="2"/>
    <n v="156"/>
    <s v="131-160"/>
    <n v="0"/>
    <n v="0"/>
    <s v="0.1-1"/>
    <n v="0"/>
    <n v="0"/>
    <n v="1"/>
    <x v="0"/>
  </r>
  <r>
    <n v="88"/>
    <n v="53"/>
    <s v="48-56"/>
    <x v="1"/>
    <x v="2"/>
    <n v="128"/>
    <x v="0"/>
    <n v="216"/>
    <s v="201-300"/>
    <n v="0"/>
    <n v="2"/>
    <n v="115"/>
    <s v="101-130"/>
    <n v="0"/>
    <n v="0"/>
    <s v="0.1-1"/>
    <n v="0"/>
    <n v="0"/>
    <n v="1"/>
    <x v="0"/>
  </r>
  <r>
    <n v="89"/>
    <n v="53"/>
    <s v="48-56"/>
    <x v="1"/>
    <x v="1"/>
    <n v="138"/>
    <x v="0"/>
    <n v="234"/>
    <s v="201-300"/>
    <n v="0"/>
    <n v="2"/>
    <n v="160"/>
    <s v="131-160"/>
    <n v="0"/>
    <n v="0"/>
    <s v="0.1-1"/>
    <n v="0"/>
    <n v="0"/>
    <n v="1"/>
    <x v="0"/>
  </r>
  <r>
    <n v="90"/>
    <n v="51"/>
    <s v="48-56"/>
    <x v="1"/>
    <x v="2"/>
    <n v="130"/>
    <x v="0"/>
    <n v="256"/>
    <s v="201-300"/>
    <n v="0"/>
    <n v="2"/>
    <n v="149"/>
    <s v="131-160"/>
    <n v="0"/>
    <n v="0.5"/>
    <s v="0.1-1"/>
    <n v="0"/>
    <n v="0"/>
    <n v="1"/>
    <x v="0"/>
  </r>
  <r>
    <n v="91"/>
    <n v="66"/>
    <s v="58-66"/>
    <x v="0"/>
    <x v="1"/>
    <n v="120"/>
    <x v="2"/>
    <n v="302"/>
    <s v="301-400"/>
    <n v="0"/>
    <n v="2"/>
    <n v="151"/>
    <s v="131-160"/>
    <n v="0"/>
    <n v="0.4"/>
    <s v="0.1-1"/>
    <n v="1"/>
    <n v="0"/>
    <n v="1"/>
    <x v="0"/>
  </r>
  <r>
    <n v="92"/>
    <n v="62"/>
    <s v="58-66"/>
    <x v="1"/>
    <x v="1"/>
    <n v="160"/>
    <x v="1"/>
    <n v="164"/>
    <s v="126-200"/>
    <n v="0"/>
    <n v="2"/>
    <n v="145"/>
    <s v="131-160"/>
    <n v="0"/>
    <n v="6.2"/>
    <s v="6+"/>
    <n v="2"/>
    <n v="3"/>
    <n v="3"/>
    <x v="1"/>
  </r>
  <r>
    <n v="93"/>
    <n v="62"/>
    <s v="58-66"/>
    <x v="0"/>
    <x v="2"/>
    <n v="130"/>
    <x v="0"/>
    <n v="231"/>
    <s v="201-300"/>
    <n v="0"/>
    <n v="0"/>
    <n v="146"/>
    <s v="131-160"/>
    <n v="0"/>
    <n v="1.8"/>
    <s v="1-2"/>
    <n v="1"/>
    <n v="3"/>
    <n v="3"/>
    <x v="0"/>
  </r>
  <r>
    <n v="94"/>
    <n v="44"/>
    <s v="38-46"/>
    <x v="1"/>
    <x v="2"/>
    <n v="108"/>
    <x v="2"/>
    <n v="141"/>
    <s v="126-200"/>
    <n v="0"/>
    <n v="0"/>
    <n v="175"/>
    <s v="161-190"/>
    <n v="0"/>
    <n v="0.6"/>
    <s v="0.1-1"/>
    <n v="1"/>
    <n v="0"/>
    <n v="1"/>
    <x v="0"/>
  </r>
  <r>
    <n v="95"/>
    <n v="63"/>
    <s v="58-66"/>
    <x v="1"/>
    <x v="2"/>
    <n v="135"/>
    <x v="0"/>
    <n v="252"/>
    <s v="201-300"/>
    <n v="0"/>
    <n v="2"/>
    <n v="172"/>
    <s v="161-190"/>
    <n v="0"/>
    <n v="0"/>
    <s v="0.1-1"/>
    <n v="0"/>
    <n v="0"/>
    <n v="1"/>
    <x v="0"/>
  </r>
  <r>
    <n v="96"/>
    <n v="52"/>
    <s v="48-56"/>
    <x v="0"/>
    <x v="1"/>
    <n v="128"/>
    <x v="0"/>
    <n v="255"/>
    <s v="201-300"/>
    <n v="0"/>
    <n v="0"/>
    <n v="161"/>
    <s v="161-190"/>
    <n v="1"/>
    <n v="0"/>
    <s v="0.1-1"/>
    <n v="0"/>
    <n v="1"/>
    <n v="3"/>
    <x v="1"/>
  </r>
  <r>
    <n v="97"/>
    <n v="59"/>
    <s v="58-66"/>
    <x v="0"/>
    <x v="1"/>
    <n v="110"/>
    <x v="2"/>
    <n v="239"/>
    <s v="201-300"/>
    <n v="0"/>
    <n v="2"/>
    <n v="142"/>
    <s v="131-160"/>
    <n v="1"/>
    <n v="1.2"/>
    <s v="1-2"/>
    <n v="1"/>
    <n v="1"/>
    <n v="3"/>
    <x v="1"/>
  </r>
  <r>
    <n v="98"/>
    <n v="60"/>
    <s v="58-66"/>
    <x v="1"/>
    <x v="1"/>
    <n v="150"/>
    <x v="0"/>
    <n v="258"/>
    <s v="201-300"/>
    <n v="0"/>
    <n v="2"/>
    <n v="157"/>
    <s v="131-160"/>
    <n v="0"/>
    <n v="2.6"/>
    <s v="2-3"/>
    <n v="1"/>
    <n v="2"/>
    <n v="3"/>
    <x v="1"/>
  </r>
  <r>
    <n v="99"/>
    <n v="52"/>
    <s v="48-56"/>
    <x v="0"/>
    <x v="3"/>
    <n v="134"/>
    <x v="0"/>
    <n v="201"/>
    <s v="201-300"/>
    <n v="0"/>
    <n v="0"/>
    <n v="158"/>
    <s v="131-160"/>
    <n v="0"/>
    <n v="0.8"/>
    <s v="0.1-1"/>
    <n v="0"/>
    <n v="1"/>
    <n v="1"/>
    <x v="0"/>
  </r>
  <r>
    <n v="100"/>
    <n v="48"/>
    <s v="48-56"/>
    <x v="0"/>
    <x v="1"/>
    <n v="122"/>
    <x v="0"/>
    <n v="222"/>
    <s v="201-300"/>
    <n v="0"/>
    <n v="2"/>
    <n v="186"/>
    <s v="161-190"/>
    <n v="0"/>
    <n v="0"/>
    <s v="0.1-1"/>
    <n v="0"/>
    <n v="0"/>
    <n v="1"/>
    <x v="0"/>
  </r>
  <r>
    <n v="101"/>
    <n v="45"/>
    <s v="38-46"/>
    <x v="0"/>
    <x v="1"/>
    <n v="115"/>
    <x v="2"/>
    <n v="260"/>
    <s v="201-300"/>
    <n v="0"/>
    <n v="2"/>
    <n v="185"/>
    <s v="161-190"/>
    <n v="0"/>
    <n v="0"/>
    <s v="0.1-1"/>
    <n v="0"/>
    <n v="0"/>
    <n v="1"/>
    <x v="0"/>
  </r>
  <r>
    <n v="102"/>
    <n v="34"/>
    <s v="27-36"/>
    <x v="0"/>
    <x v="0"/>
    <n v="118"/>
    <x v="2"/>
    <n v="182"/>
    <s v="126-200"/>
    <n v="0"/>
    <n v="2"/>
    <n v="174"/>
    <s v="161-190"/>
    <n v="0"/>
    <n v="0"/>
    <s v="0.1-1"/>
    <n v="0"/>
    <n v="0"/>
    <n v="1"/>
    <x v="0"/>
  </r>
  <r>
    <n v="103"/>
    <n v="57"/>
    <s v="58-66"/>
    <x v="1"/>
    <x v="1"/>
    <n v="128"/>
    <x v="0"/>
    <n v="303"/>
    <s v="301-400"/>
    <n v="0"/>
    <n v="2"/>
    <n v="159"/>
    <s v="131-160"/>
    <n v="0"/>
    <n v="0"/>
    <s v="0.1-1"/>
    <n v="0"/>
    <n v="1"/>
    <n v="1"/>
    <x v="0"/>
  </r>
  <r>
    <n v="104"/>
    <n v="71"/>
    <s v="66+"/>
    <x v="1"/>
    <x v="2"/>
    <n v="110"/>
    <x v="2"/>
    <n v="265"/>
    <s v="201-300"/>
    <n v="1"/>
    <n v="2"/>
    <n v="130"/>
    <s v="101-130"/>
    <n v="0"/>
    <n v="0"/>
    <s v="0.1-1"/>
    <n v="0"/>
    <n v="1"/>
    <n v="1"/>
    <x v="0"/>
  </r>
  <r>
    <n v="105"/>
    <n v="49"/>
    <s v="48-56"/>
    <x v="0"/>
    <x v="2"/>
    <n v="120"/>
    <x v="2"/>
    <n v="188"/>
    <s v="126-200"/>
    <n v="0"/>
    <n v="0"/>
    <n v="139"/>
    <s v="131-160"/>
    <n v="0"/>
    <n v="2"/>
    <s v="1-2"/>
    <n v="1"/>
    <n v="3"/>
    <n v="3"/>
    <x v="1"/>
  </r>
  <r>
    <n v="106"/>
    <n v="54"/>
    <s v="48-56"/>
    <x v="0"/>
    <x v="3"/>
    <n v="108"/>
    <x v="2"/>
    <n v="309"/>
    <s v="301-400"/>
    <n v="0"/>
    <n v="0"/>
    <n v="156"/>
    <s v="131-160"/>
    <n v="0"/>
    <n v="0"/>
    <s v="0.1-1"/>
    <n v="0"/>
    <n v="0"/>
    <n v="3"/>
    <x v="0"/>
  </r>
  <r>
    <n v="107"/>
    <n v="59"/>
    <s v="58-66"/>
    <x v="0"/>
    <x v="1"/>
    <n v="140"/>
    <x v="0"/>
    <n v="177"/>
    <s v="126-200"/>
    <n v="0"/>
    <n v="0"/>
    <n v="162"/>
    <s v="161-190"/>
    <n v="1"/>
    <n v="0"/>
    <s v="0.1-1"/>
    <n v="0"/>
    <n v="1"/>
    <n v="3"/>
    <x v="1"/>
  </r>
  <r>
    <n v="108"/>
    <n v="57"/>
    <s v="58-66"/>
    <x v="0"/>
    <x v="2"/>
    <n v="128"/>
    <x v="0"/>
    <n v="229"/>
    <s v="201-300"/>
    <n v="0"/>
    <n v="2"/>
    <n v="150"/>
    <s v="131-160"/>
    <n v="0"/>
    <n v="0.4"/>
    <s v="0.1-1"/>
    <n v="1"/>
    <n v="1"/>
    <n v="3"/>
    <x v="1"/>
  </r>
  <r>
    <n v="109"/>
    <n v="61"/>
    <s v="58-66"/>
    <x v="0"/>
    <x v="1"/>
    <n v="120"/>
    <x v="2"/>
    <n v="260"/>
    <s v="201-300"/>
    <n v="0"/>
    <n v="0"/>
    <n v="140"/>
    <s v="131-160"/>
    <n v="1"/>
    <n v="3.6"/>
    <s v="3-4"/>
    <n v="1"/>
    <n v="1"/>
    <n v="3"/>
    <x v="1"/>
  </r>
  <r>
    <n v="110"/>
    <n v="39"/>
    <s v="38-46"/>
    <x v="0"/>
    <x v="1"/>
    <n v="118"/>
    <x v="2"/>
    <n v="219"/>
    <s v="201-300"/>
    <n v="0"/>
    <n v="0"/>
    <n v="140"/>
    <s v="131-160"/>
    <n v="0"/>
    <n v="1.2"/>
    <s v="1-2"/>
    <n v="1"/>
    <n v="0"/>
    <n v="3"/>
    <x v="1"/>
  </r>
  <r>
    <n v="111"/>
    <n v="61"/>
    <s v="58-66"/>
    <x v="1"/>
    <x v="1"/>
    <n v="145"/>
    <x v="0"/>
    <n v="307"/>
    <s v="301-400"/>
    <n v="0"/>
    <n v="2"/>
    <n v="146"/>
    <s v="131-160"/>
    <n v="1"/>
    <n v="1"/>
    <s v="0.1-1"/>
    <n v="1"/>
    <n v="0"/>
    <n v="3"/>
    <x v="1"/>
  </r>
  <r>
    <n v="112"/>
    <n v="56"/>
    <s v="48-56"/>
    <x v="0"/>
    <x v="1"/>
    <n v="125"/>
    <x v="0"/>
    <n v="249"/>
    <s v="201-300"/>
    <n v="1"/>
    <n v="2"/>
    <n v="144"/>
    <s v="131-160"/>
    <n v="1"/>
    <n v="1.2"/>
    <s v="1-2"/>
    <n v="1"/>
    <n v="1"/>
    <n v="1"/>
    <x v="1"/>
  </r>
  <r>
    <n v="113"/>
    <n v="52"/>
    <s v="48-56"/>
    <x v="0"/>
    <x v="0"/>
    <n v="118"/>
    <x v="2"/>
    <n v="186"/>
    <s v="126-200"/>
    <n v="0"/>
    <n v="2"/>
    <n v="190"/>
    <s v="161-190"/>
    <n v="0"/>
    <n v="0"/>
    <s v="0.1-1"/>
    <n v="1"/>
    <n v="0"/>
    <n v="2"/>
    <x v="0"/>
  </r>
  <r>
    <n v="114"/>
    <n v="43"/>
    <s v="38-46"/>
    <x v="1"/>
    <x v="1"/>
    <n v="132"/>
    <x v="0"/>
    <n v="341"/>
    <s v="301-400"/>
    <n v="1"/>
    <n v="2"/>
    <n v="136"/>
    <s v="131-160"/>
    <n v="1"/>
    <n v="3"/>
    <s v="2-3"/>
    <n v="1"/>
    <n v="0"/>
    <n v="3"/>
    <x v="1"/>
  </r>
  <r>
    <n v="115"/>
    <n v="62"/>
    <s v="58-66"/>
    <x v="1"/>
    <x v="2"/>
    <n v="130"/>
    <x v="0"/>
    <n v="263"/>
    <s v="201-300"/>
    <n v="0"/>
    <n v="0"/>
    <n v="97"/>
    <s v="71-100"/>
    <n v="0"/>
    <n v="1.2"/>
    <s v="1-2"/>
    <n v="1"/>
    <n v="1"/>
    <n v="3"/>
    <x v="1"/>
  </r>
  <r>
    <n v="116"/>
    <n v="41"/>
    <s v="38-46"/>
    <x v="0"/>
    <x v="3"/>
    <n v="135"/>
    <x v="0"/>
    <n v="203"/>
    <s v="201-300"/>
    <n v="0"/>
    <n v="0"/>
    <n v="132"/>
    <s v="131-160"/>
    <n v="0"/>
    <n v="0"/>
    <s v="0.1-1"/>
    <n v="1"/>
    <n v="0"/>
    <n v="2"/>
    <x v="0"/>
  </r>
  <r>
    <n v="117"/>
    <n v="58"/>
    <s v="58-66"/>
    <x v="0"/>
    <x v="2"/>
    <n v="140"/>
    <x v="0"/>
    <n v="211"/>
    <s v="201-300"/>
    <n v="1"/>
    <n v="2"/>
    <n v="165"/>
    <s v="161-190"/>
    <n v="0"/>
    <n v="0"/>
    <s v="0.1-1"/>
    <n v="0"/>
    <n v="0"/>
    <n v="1"/>
    <x v="0"/>
  </r>
  <r>
    <n v="118"/>
    <n v="35"/>
    <s v="27-36"/>
    <x v="1"/>
    <x v="1"/>
    <n v="138"/>
    <x v="0"/>
    <n v="183"/>
    <s v="126-200"/>
    <n v="0"/>
    <n v="0"/>
    <n v="182"/>
    <s v="161-190"/>
    <n v="0"/>
    <n v="1.4"/>
    <s v="1-2"/>
    <n v="0"/>
    <n v="0"/>
    <n v="1"/>
    <x v="0"/>
  </r>
  <r>
    <n v="119"/>
    <n v="63"/>
    <s v="58-66"/>
    <x v="0"/>
    <x v="1"/>
    <n v="130"/>
    <x v="0"/>
    <n v="330"/>
    <s v="301-400"/>
    <n v="1"/>
    <n v="2"/>
    <n v="132"/>
    <s v="131-160"/>
    <n v="1"/>
    <n v="1.8"/>
    <s v="1-2"/>
    <n v="0"/>
    <n v="3"/>
    <n v="3"/>
    <x v="1"/>
  </r>
  <r>
    <n v="120"/>
    <n v="65"/>
    <s v="58-66"/>
    <x v="0"/>
    <x v="1"/>
    <n v="135"/>
    <x v="0"/>
    <n v="254"/>
    <s v="201-300"/>
    <n v="0"/>
    <n v="2"/>
    <n v="127"/>
    <s v="101-130"/>
    <n v="0"/>
    <n v="2.8"/>
    <s v="2-3"/>
    <n v="1"/>
    <n v="1"/>
    <n v="3"/>
    <x v="1"/>
  </r>
  <r>
    <n v="121"/>
    <n v="48"/>
    <s v="48-56"/>
    <x v="0"/>
    <x v="1"/>
    <n v="130"/>
    <x v="0"/>
    <n v="256"/>
    <s v="201-300"/>
    <n v="1"/>
    <n v="2"/>
    <n v="150"/>
    <s v="131-160"/>
    <n v="1"/>
    <n v="0"/>
    <s v="0.1-1"/>
    <n v="0"/>
    <n v="2"/>
    <n v="3"/>
    <x v="1"/>
  </r>
  <r>
    <n v="122"/>
    <n v="63"/>
    <s v="58-66"/>
    <x v="1"/>
    <x v="1"/>
    <n v="150"/>
    <x v="0"/>
    <n v="407"/>
    <s v="401-500"/>
    <n v="0"/>
    <n v="2"/>
    <n v="154"/>
    <s v="131-160"/>
    <n v="0"/>
    <n v="4"/>
    <s v="3-4"/>
    <n v="1"/>
    <n v="3"/>
    <n v="3"/>
    <x v="1"/>
  </r>
  <r>
    <n v="123"/>
    <n v="51"/>
    <s v="48-56"/>
    <x v="0"/>
    <x v="2"/>
    <n v="100"/>
    <x v="2"/>
    <n v="222"/>
    <s v="201-300"/>
    <n v="0"/>
    <n v="0"/>
    <n v="143"/>
    <s v="131-160"/>
    <n v="1"/>
    <n v="1.2"/>
    <s v="1-2"/>
    <n v="1"/>
    <n v="0"/>
    <n v="1"/>
    <x v="0"/>
  </r>
  <r>
    <n v="124"/>
    <n v="55"/>
    <s v="48-56"/>
    <x v="0"/>
    <x v="1"/>
    <n v="140"/>
    <x v="0"/>
    <n v="217"/>
    <s v="201-300"/>
    <n v="0"/>
    <n v="0"/>
    <n v="111"/>
    <s v="101-130"/>
    <n v="1"/>
    <n v="5.6"/>
    <s v="6+"/>
    <n v="2"/>
    <n v="0"/>
    <n v="3"/>
    <x v="1"/>
  </r>
  <r>
    <n v="125"/>
    <n v="65"/>
    <s v="58-66"/>
    <x v="0"/>
    <x v="0"/>
    <n v="138"/>
    <x v="0"/>
    <n v="282"/>
    <s v="201-300"/>
    <n v="1"/>
    <n v="2"/>
    <n v="174"/>
    <s v="161-190"/>
    <n v="0"/>
    <n v="1.4"/>
    <s v="1-2"/>
    <n v="1"/>
    <n v="1"/>
    <n v="1"/>
    <x v="1"/>
  </r>
  <r>
    <n v="126"/>
    <n v="45"/>
    <s v="38-46"/>
    <x v="1"/>
    <x v="3"/>
    <n v="130"/>
    <x v="0"/>
    <n v="234"/>
    <s v="201-300"/>
    <n v="0"/>
    <n v="2"/>
    <n v="175"/>
    <s v="161-190"/>
    <n v="0"/>
    <n v="0.6"/>
    <s v="0.1-1"/>
    <n v="1"/>
    <n v="0"/>
    <n v="1"/>
    <x v="0"/>
  </r>
  <r>
    <n v="127"/>
    <n v="56"/>
    <s v="48-56"/>
    <x v="1"/>
    <x v="1"/>
    <n v="200"/>
    <x v="3"/>
    <n v="288"/>
    <s v="201-300"/>
    <n v="1"/>
    <n v="2"/>
    <n v="133"/>
    <s v="131-160"/>
    <n v="1"/>
    <n v="4"/>
    <s v="3-4"/>
    <n v="2"/>
    <n v="2"/>
    <n v="3"/>
    <x v="1"/>
  </r>
  <r>
    <n v="128"/>
    <n v="54"/>
    <s v="48-56"/>
    <x v="0"/>
    <x v="1"/>
    <n v="110"/>
    <x v="2"/>
    <n v="239"/>
    <s v="201-300"/>
    <n v="0"/>
    <n v="0"/>
    <n v="126"/>
    <s v="101-130"/>
    <n v="1"/>
    <n v="2.8"/>
    <s v="2-3"/>
    <n v="1"/>
    <n v="1"/>
    <n v="3"/>
    <x v="1"/>
  </r>
  <r>
    <n v="129"/>
    <n v="44"/>
    <s v="38-46"/>
    <x v="0"/>
    <x v="3"/>
    <n v="120"/>
    <x v="2"/>
    <n v="220"/>
    <s v="201-300"/>
    <n v="0"/>
    <n v="0"/>
    <n v="170"/>
    <s v="161-190"/>
    <n v="0"/>
    <n v="0"/>
    <s v="0.1-1"/>
    <n v="0"/>
    <n v="0"/>
    <n v="1"/>
    <x v="0"/>
  </r>
  <r>
    <n v="130"/>
    <n v="62"/>
    <s v="58-66"/>
    <x v="1"/>
    <x v="1"/>
    <n v="124"/>
    <x v="0"/>
    <n v="209"/>
    <s v="201-300"/>
    <n v="0"/>
    <n v="0"/>
    <n v="163"/>
    <s v="161-190"/>
    <n v="0"/>
    <n v="0"/>
    <s v="0.1-1"/>
    <n v="0"/>
    <n v="0"/>
    <n v="1"/>
    <x v="0"/>
  </r>
  <r>
    <n v="131"/>
    <n v="54"/>
    <s v="48-56"/>
    <x v="0"/>
    <x v="2"/>
    <n v="120"/>
    <x v="2"/>
    <n v="258"/>
    <s v="201-300"/>
    <n v="0"/>
    <n v="2"/>
    <n v="147"/>
    <s v="131-160"/>
    <n v="0"/>
    <n v="0.4"/>
    <s v="0.1-1"/>
    <n v="1"/>
    <n v="0"/>
    <n v="3"/>
    <x v="0"/>
  </r>
  <r>
    <n v="132"/>
    <n v="51"/>
    <s v="48-56"/>
    <x v="0"/>
    <x v="2"/>
    <n v="94"/>
    <x v="2"/>
    <n v="227"/>
    <s v="201-300"/>
    <n v="0"/>
    <n v="0"/>
    <n v="154"/>
    <s v="131-160"/>
    <n v="1"/>
    <n v="0"/>
    <s v="0.1-1"/>
    <n v="0"/>
    <n v="1"/>
    <n v="3"/>
    <x v="0"/>
  </r>
  <r>
    <n v="133"/>
    <n v="29"/>
    <s v="27-36"/>
    <x v="0"/>
    <x v="3"/>
    <n v="130"/>
    <x v="0"/>
    <n v="204"/>
    <s v="201-300"/>
    <n v="0"/>
    <n v="2"/>
    <n v="202"/>
    <s v="190+"/>
    <n v="0"/>
    <n v="0"/>
    <s v="0.1-1"/>
    <n v="0"/>
    <n v="0"/>
    <n v="1"/>
    <x v="0"/>
  </r>
  <r>
    <n v="134"/>
    <n v="51"/>
    <s v="48-56"/>
    <x v="0"/>
    <x v="1"/>
    <n v="140"/>
    <x v="0"/>
    <n v="261"/>
    <s v="201-300"/>
    <n v="0"/>
    <n v="2"/>
    <n v="186"/>
    <s v="161-190"/>
    <n v="1"/>
    <n v="0"/>
    <s v="0.1-1"/>
    <n v="0"/>
    <n v="0"/>
    <n v="1"/>
    <x v="0"/>
  </r>
  <r>
    <n v="135"/>
    <n v="43"/>
    <s v="38-46"/>
    <x v="1"/>
    <x v="2"/>
    <n v="122"/>
    <x v="0"/>
    <n v="213"/>
    <s v="201-300"/>
    <n v="0"/>
    <n v="0"/>
    <n v="165"/>
    <s v="161-190"/>
    <n v="0"/>
    <n v="0.2"/>
    <s v="0.1-1"/>
    <n v="1"/>
    <n v="0"/>
    <n v="1"/>
    <x v="0"/>
  </r>
  <r>
    <n v="136"/>
    <n v="55"/>
    <s v="48-56"/>
    <x v="1"/>
    <x v="3"/>
    <n v="135"/>
    <x v="0"/>
    <n v="250"/>
    <s v="201-300"/>
    <n v="0"/>
    <n v="2"/>
    <n v="161"/>
    <s v="161-190"/>
    <n v="0"/>
    <n v="1.4"/>
    <s v="1-2"/>
    <n v="1"/>
    <n v="0"/>
    <n v="1"/>
    <x v="0"/>
  </r>
  <r>
    <n v="137"/>
    <n v="70"/>
    <s v="66+"/>
    <x v="0"/>
    <x v="1"/>
    <n v="145"/>
    <x v="0"/>
    <n v="174"/>
    <s v="126-200"/>
    <n v="0"/>
    <n v="0"/>
    <n v="125"/>
    <s v="101-130"/>
    <n v="1"/>
    <n v="2.6"/>
    <s v="2-3"/>
    <n v="2"/>
    <n v="0"/>
    <n v="3"/>
    <x v="1"/>
  </r>
  <r>
    <n v="138"/>
    <n v="62"/>
    <s v="58-66"/>
    <x v="0"/>
    <x v="3"/>
    <n v="120"/>
    <x v="2"/>
    <n v="281"/>
    <s v="201-300"/>
    <n v="0"/>
    <n v="2"/>
    <n v="103"/>
    <s v="101-130"/>
    <n v="0"/>
    <n v="1.4"/>
    <s v="1-2"/>
    <n v="1"/>
    <n v="1"/>
    <n v="3"/>
    <x v="1"/>
  </r>
  <r>
    <n v="139"/>
    <n v="35"/>
    <s v="27-36"/>
    <x v="0"/>
    <x v="1"/>
    <n v="120"/>
    <x v="2"/>
    <n v="198"/>
    <s v="126-200"/>
    <n v="0"/>
    <n v="0"/>
    <n v="130"/>
    <s v="101-130"/>
    <n v="1"/>
    <n v="1.6"/>
    <s v="1-2"/>
    <n v="1"/>
    <n v="0"/>
    <n v="3"/>
    <x v="1"/>
  </r>
  <r>
    <n v="140"/>
    <n v="51"/>
    <s v="48-56"/>
    <x v="0"/>
    <x v="2"/>
    <n v="125"/>
    <x v="0"/>
    <n v="245"/>
    <s v="201-300"/>
    <n v="1"/>
    <n v="2"/>
    <n v="166"/>
    <s v="161-190"/>
    <n v="0"/>
    <n v="2.4"/>
    <s v="2-3"/>
    <n v="1"/>
    <n v="0"/>
    <n v="1"/>
    <x v="0"/>
  </r>
  <r>
    <n v="141"/>
    <n v="59"/>
    <s v="58-66"/>
    <x v="0"/>
    <x v="3"/>
    <n v="140"/>
    <x v="0"/>
    <n v="221"/>
    <s v="201-300"/>
    <n v="0"/>
    <n v="0"/>
    <n v="164"/>
    <s v="161-190"/>
    <n v="1"/>
    <n v="0"/>
    <s v="0.1-1"/>
    <n v="0"/>
    <n v="0"/>
    <n v="1"/>
    <x v="0"/>
  </r>
  <r>
    <n v="142"/>
    <n v="59"/>
    <s v="58-66"/>
    <x v="0"/>
    <x v="0"/>
    <n v="170"/>
    <x v="1"/>
    <n v="288"/>
    <s v="201-300"/>
    <n v="0"/>
    <n v="2"/>
    <n v="159"/>
    <s v="131-160"/>
    <n v="0"/>
    <n v="0.2"/>
    <s v="0.1-1"/>
    <n v="1"/>
    <n v="0"/>
    <n v="3"/>
    <x v="1"/>
  </r>
  <r>
    <n v="143"/>
    <n v="52"/>
    <s v="48-56"/>
    <x v="0"/>
    <x v="3"/>
    <n v="128"/>
    <x v="0"/>
    <n v="205"/>
    <s v="201-300"/>
    <n v="1"/>
    <n v="0"/>
    <n v="184"/>
    <s v="161-190"/>
    <n v="0"/>
    <n v="0"/>
    <s v="0.1-1"/>
    <n v="0"/>
    <n v="0"/>
    <n v="1"/>
    <x v="0"/>
  </r>
  <r>
    <n v="144"/>
    <n v="64"/>
    <s v="58-66"/>
    <x v="0"/>
    <x v="2"/>
    <n v="125"/>
    <x v="0"/>
    <n v="309"/>
    <s v="301-400"/>
    <n v="0"/>
    <n v="0"/>
    <n v="131"/>
    <s v="131-160"/>
    <n v="1"/>
    <n v="1.8"/>
    <s v="1-2"/>
    <n v="1"/>
    <n v="0"/>
    <n v="3"/>
    <x v="1"/>
  </r>
  <r>
    <n v="145"/>
    <n v="58"/>
    <s v="58-66"/>
    <x v="0"/>
    <x v="2"/>
    <n v="105"/>
    <x v="2"/>
    <n v="240"/>
    <s v="201-300"/>
    <n v="0"/>
    <n v="2"/>
    <n v="154"/>
    <s v="131-160"/>
    <n v="1"/>
    <n v="0.6"/>
    <s v="0.1-1"/>
    <n v="1"/>
    <n v="0"/>
    <n v="3"/>
    <x v="0"/>
  </r>
  <r>
    <n v="146"/>
    <n v="47"/>
    <s v="48-56"/>
    <x v="0"/>
    <x v="2"/>
    <n v="108"/>
    <x v="2"/>
    <n v="243"/>
    <s v="201-300"/>
    <n v="0"/>
    <n v="0"/>
    <n v="152"/>
    <s v="131-160"/>
    <n v="0"/>
    <n v="0"/>
    <s v="0.1-1"/>
    <n v="0"/>
    <n v="0"/>
    <n v="1"/>
    <x v="1"/>
  </r>
  <r>
    <n v="147"/>
    <n v="57"/>
    <s v="58-66"/>
    <x v="0"/>
    <x v="1"/>
    <n v="165"/>
    <x v="1"/>
    <n v="289"/>
    <s v="201-300"/>
    <n v="1"/>
    <n v="2"/>
    <n v="124"/>
    <s v="101-130"/>
    <n v="0"/>
    <n v="1"/>
    <s v="0.1-1"/>
    <n v="1"/>
    <n v="3"/>
    <n v="3"/>
    <x v="1"/>
  </r>
  <r>
    <n v="148"/>
    <n v="41"/>
    <s v="38-46"/>
    <x v="0"/>
    <x v="2"/>
    <n v="112"/>
    <x v="2"/>
    <n v="250"/>
    <s v="201-300"/>
    <n v="0"/>
    <n v="0"/>
    <n v="179"/>
    <s v="161-190"/>
    <n v="0"/>
    <n v="0"/>
    <s v="0.1-1"/>
    <n v="0"/>
    <n v="0"/>
    <n v="1"/>
    <x v="0"/>
  </r>
  <r>
    <n v="149"/>
    <n v="45"/>
    <s v="38-46"/>
    <x v="0"/>
    <x v="3"/>
    <n v="128"/>
    <x v="0"/>
    <n v="308"/>
    <s v="301-400"/>
    <n v="0"/>
    <n v="2"/>
    <n v="170"/>
    <s v="161-190"/>
    <n v="0"/>
    <n v="0"/>
    <s v="0.1-1"/>
    <n v="0"/>
    <n v="0"/>
    <n v="1"/>
    <x v="0"/>
  </r>
  <r>
    <n v="150"/>
    <n v="60"/>
    <s v="58-66"/>
    <x v="1"/>
    <x v="2"/>
    <n v="102"/>
    <x v="2"/>
    <n v="318"/>
    <s v="301-400"/>
    <n v="0"/>
    <n v="0"/>
    <n v="160"/>
    <s v="131-160"/>
    <n v="0"/>
    <n v="0"/>
    <s v="0.1-1"/>
    <n v="0"/>
    <n v="1"/>
    <n v="1"/>
    <x v="0"/>
  </r>
  <r>
    <n v="151"/>
    <n v="52"/>
    <s v="48-56"/>
    <x v="0"/>
    <x v="0"/>
    <n v="152"/>
    <x v="1"/>
    <n v="298"/>
    <s v="201-300"/>
    <n v="1"/>
    <n v="0"/>
    <n v="178"/>
    <s v="161-190"/>
    <n v="0"/>
    <n v="1.2"/>
    <s v="1-2"/>
    <n v="1"/>
    <n v="0"/>
    <n v="3"/>
    <x v="0"/>
  </r>
  <r>
    <n v="152"/>
    <n v="42"/>
    <s v="38-46"/>
    <x v="1"/>
    <x v="1"/>
    <n v="102"/>
    <x v="2"/>
    <n v="265"/>
    <s v="201-300"/>
    <n v="0"/>
    <n v="2"/>
    <n v="122"/>
    <s v="101-130"/>
    <n v="0"/>
    <n v="0.6"/>
    <s v="0.1-1"/>
    <n v="1"/>
    <n v="0"/>
    <n v="1"/>
    <x v="0"/>
  </r>
  <r>
    <n v="153"/>
    <n v="67"/>
    <s v="66+"/>
    <x v="1"/>
    <x v="2"/>
    <n v="115"/>
    <x v="2"/>
    <n v="564"/>
    <s v="500+"/>
    <n v="0"/>
    <n v="2"/>
    <n v="160"/>
    <s v="131-160"/>
    <n v="0"/>
    <n v="1.6"/>
    <s v="1-2"/>
    <n v="1"/>
    <n v="0"/>
    <n v="3"/>
    <x v="0"/>
  </r>
  <r>
    <n v="154"/>
    <n v="55"/>
    <s v="48-56"/>
    <x v="0"/>
    <x v="1"/>
    <n v="160"/>
    <x v="1"/>
    <n v="289"/>
    <s v="201-300"/>
    <n v="0"/>
    <n v="2"/>
    <n v="145"/>
    <s v="131-160"/>
    <n v="1"/>
    <n v="0.8"/>
    <s v="0.1-1"/>
    <n v="1"/>
    <n v="1"/>
    <n v="3"/>
    <x v="1"/>
  </r>
  <r>
    <n v="155"/>
    <n v="64"/>
    <s v="58-66"/>
    <x v="0"/>
    <x v="1"/>
    <n v="120"/>
    <x v="2"/>
    <n v="246"/>
    <s v="201-300"/>
    <n v="0"/>
    <n v="2"/>
    <n v="96"/>
    <s v="71-100"/>
    <n v="1"/>
    <n v="2.2000000000000002"/>
    <s v="2-3"/>
    <n v="2"/>
    <n v="1"/>
    <n v="1"/>
    <x v="1"/>
  </r>
  <r>
    <n v="156"/>
    <n v="70"/>
    <s v="66+"/>
    <x v="0"/>
    <x v="1"/>
    <n v="130"/>
    <x v="0"/>
    <n v="322"/>
    <s v="301-400"/>
    <n v="0"/>
    <n v="2"/>
    <n v="109"/>
    <s v="101-130"/>
    <n v="0"/>
    <n v="2.4"/>
    <s v="2-3"/>
    <n v="1"/>
    <n v="3"/>
    <n v="1"/>
    <x v="1"/>
  </r>
  <r>
    <n v="157"/>
    <n v="51"/>
    <s v="48-56"/>
    <x v="0"/>
    <x v="1"/>
    <n v="140"/>
    <x v="0"/>
    <n v="299"/>
    <s v="201-300"/>
    <n v="0"/>
    <n v="0"/>
    <n v="173"/>
    <s v="161-190"/>
    <n v="1"/>
    <n v="1.6"/>
    <s v="1-2"/>
    <n v="0"/>
    <n v="0"/>
    <n v="3"/>
    <x v="1"/>
  </r>
  <r>
    <n v="158"/>
    <n v="58"/>
    <s v="58-66"/>
    <x v="0"/>
    <x v="1"/>
    <n v="125"/>
    <x v="0"/>
    <n v="300"/>
    <s v="201-300"/>
    <n v="0"/>
    <n v="2"/>
    <n v="171"/>
    <s v="161-190"/>
    <n v="0"/>
    <n v="0"/>
    <s v="0.1-1"/>
    <n v="0"/>
    <n v="2"/>
    <n v="3"/>
    <x v="1"/>
  </r>
  <r>
    <n v="159"/>
    <n v="60"/>
    <s v="58-66"/>
    <x v="0"/>
    <x v="1"/>
    <n v="140"/>
    <x v="0"/>
    <n v="293"/>
    <s v="201-300"/>
    <n v="0"/>
    <n v="2"/>
    <n v="170"/>
    <s v="161-190"/>
    <n v="0"/>
    <n v="1.2"/>
    <s v="1-2"/>
    <n v="1"/>
    <n v="2"/>
    <n v="3"/>
    <x v="1"/>
  </r>
  <r>
    <n v="160"/>
    <n v="68"/>
    <s v="66+"/>
    <x v="0"/>
    <x v="2"/>
    <n v="118"/>
    <x v="2"/>
    <n v="277"/>
    <s v="201-300"/>
    <n v="0"/>
    <n v="0"/>
    <n v="151"/>
    <s v="131-160"/>
    <n v="0"/>
    <n v="1"/>
    <s v="0.1-1"/>
    <n v="0"/>
    <n v="1"/>
    <n v="3"/>
    <x v="0"/>
  </r>
  <r>
    <n v="161"/>
    <n v="46"/>
    <s v="38-46"/>
    <x v="0"/>
    <x v="3"/>
    <n v="101"/>
    <x v="2"/>
    <n v="197"/>
    <s v="126-200"/>
    <n v="1"/>
    <n v="0"/>
    <n v="156"/>
    <s v="131-160"/>
    <n v="0"/>
    <n v="0"/>
    <s v="0.1-1"/>
    <n v="0"/>
    <n v="0"/>
    <n v="3"/>
    <x v="0"/>
  </r>
  <r>
    <n v="162"/>
    <n v="77"/>
    <s v="66+"/>
    <x v="0"/>
    <x v="1"/>
    <n v="125"/>
    <x v="0"/>
    <n v="304"/>
    <s v="301-400"/>
    <n v="0"/>
    <n v="2"/>
    <n v="162"/>
    <s v="161-190"/>
    <n v="1"/>
    <n v="0"/>
    <s v="0.1-1"/>
    <n v="0"/>
    <n v="3"/>
    <n v="1"/>
    <x v="1"/>
  </r>
  <r>
    <n v="163"/>
    <n v="54"/>
    <s v="48-56"/>
    <x v="1"/>
    <x v="2"/>
    <n v="110"/>
    <x v="2"/>
    <n v="214"/>
    <s v="201-300"/>
    <n v="0"/>
    <n v="0"/>
    <n v="158"/>
    <s v="131-160"/>
    <n v="0"/>
    <n v="1.6"/>
    <s v="1-2"/>
    <n v="1"/>
    <n v="0"/>
    <n v="1"/>
    <x v="0"/>
  </r>
  <r>
    <n v="164"/>
    <n v="58"/>
    <s v="58-66"/>
    <x v="1"/>
    <x v="1"/>
    <n v="100"/>
    <x v="2"/>
    <n v="248"/>
    <s v="201-300"/>
    <n v="0"/>
    <n v="2"/>
    <n v="122"/>
    <s v="101-130"/>
    <n v="0"/>
    <n v="1"/>
    <s v="0.1-1"/>
    <n v="1"/>
    <n v="0"/>
    <n v="1"/>
    <x v="0"/>
  </r>
  <r>
    <n v="165"/>
    <n v="48"/>
    <s v="48-56"/>
    <x v="0"/>
    <x v="2"/>
    <n v="124"/>
    <x v="0"/>
    <n v="255"/>
    <s v="201-300"/>
    <n v="1"/>
    <n v="0"/>
    <n v="175"/>
    <s v="161-190"/>
    <n v="0"/>
    <n v="0"/>
    <s v="0.1-1"/>
    <n v="0"/>
    <n v="2"/>
    <n v="1"/>
    <x v="0"/>
  </r>
  <r>
    <n v="166"/>
    <n v="57"/>
    <s v="58-66"/>
    <x v="0"/>
    <x v="1"/>
    <n v="132"/>
    <x v="0"/>
    <n v="207"/>
    <s v="201-300"/>
    <n v="0"/>
    <n v="0"/>
    <n v="168"/>
    <s v="161-190"/>
    <n v="1"/>
    <n v="0"/>
    <s v="0.1-1"/>
    <n v="0"/>
    <n v="0"/>
    <n v="3"/>
    <x v="0"/>
  </r>
  <r>
    <n v="167"/>
    <n v="52"/>
    <s v="48-56"/>
    <x v="0"/>
    <x v="2"/>
    <n v="138"/>
    <x v="0"/>
    <n v="223"/>
    <s v="201-300"/>
    <n v="0"/>
    <n v="0"/>
    <n v="169"/>
    <s v="161-190"/>
    <n v="0"/>
    <n v="0"/>
    <s v="0.1-1"/>
    <n v="0"/>
    <n v="0"/>
    <n v="1"/>
    <x v="0"/>
  </r>
  <r>
    <n v="168"/>
    <n v="54"/>
    <s v="48-56"/>
    <x v="1"/>
    <x v="3"/>
    <n v="132"/>
    <x v="0"/>
    <n v="288"/>
    <s v="201-300"/>
    <n v="1"/>
    <n v="2"/>
    <n v="159"/>
    <s v="131-160"/>
    <n v="1"/>
    <n v="0"/>
    <s v="0.1-1"/>
    <n v="0"/>
    <n v="1"/>
    <n v="1"/>
    <x v="0"/>
  </r>
  <r>
    <n v="169"/>
    <n v="35"/>
    <s v="27-36"/>
    <x v="0"/>
    <x v="1"/>
    <n v="126"/>
    <x v="0"/>
    <n v="282"/>
    <s v="201-300"/>
    <n v="0"/>
    <n v="2"/>
    <n v="156"/>
    <s v="131-160"/>
    <n v="1"/>
    <n v="0"/>
    <s v="0.1-1"/>
    <n v="0"/>
    <n v="0"/>
    <n v="3"/>
    <x v="1"/>
  </r>
  <r>
    <n v="170"/>
    <n v="45"/>
    <s v="38-46"/>
    <x v="1"/>
    <x v="3"/>
    <n v="112"/>
    <x v="2"/>
    <n v="160"/>
    <s v="126-200"/>
    <n v="0"/>
    <n v="0"/>
    <n v="138"/>
    <s v="131-160"/>
    <n v="0"/>
    <n v="0"/>
    <s v="0.1-1"/>
    <n v="1"/>
    <n v="0"/>
    <n v="1"/>
    <x v="0"/>
  </r>
  <r>
    <n v="171"/>
    <n v="70"/>
    <s v="66+"/>
    <x v="0"/>
    <x v="2"/>
    <n v="160"/>
    <x v="1"/>
    <n v="269"/>
    <s v="201-300"/>
    <n v="0"/>
    <n v="0"/>
    <n v="112"/>
    <s v="101-130"/>
    <n v="1"/>
    <n v="2.9"/>
    <s v="2-3"/>
    <n v="1"/>
    <n v="1"/>
    <n v="3"/>
    <x v="1"/>
  </r>
  <r>
    <n v="172"/>
    <n v="53"/>
    <s v="48-56"/>
    <x v="0"/>
    <x v="1"/>
    <n v="142"/>
    <x v="0"/>
    <n v="226"/>
    <s v="201-300"/>
    <n v="0"/>
    <n v="2"/>
    <n v="111"/>
    <s v="101-130"/>
    <n v="1"/>
    <n v="0"/>
    <s v="0.1-1"/>
    <n v="0"/>
    <n v="0"/>
    <n v="3"/>
    <x v="0"/>
  </r>
  <r>
    <n v="173"/>
    <n v="59"/>
    <s v="58-66"/>
    <x v="1"/>
    <x v="1"/>
    <n v="174"/>
    <x v="1"/>
    <n v="249"/>
    <s v="201-300"/>
    <n v="0"/>
    <n v="0"/>
    <n v="143"/>
    <s v="131-160"/>
    <n v="1"/>
    <n v="0"/>
    <s v="0.1-1"/>
    <n v="1"/>
    <n v="0"/>
    <n v="1"/>
    <x v="1"/>
  </r>
  <r>
    <n v="174"/>
    <n v="62"/>
    <s v="58-66"/>
    <x v="1"/>
    <x v="1"/>
    <n v="140"/>
    <x v="0"/>
    <n v="394"/>
    <s v="301-400"/>
    <n v="0"/>
    <n v="2"/>
    <n v="157"/>
    <s v="131-160"/>
    <n v="0"/>
    <n v="1.2"/>
    <s v="1-2"/>
    <n v="1"/>
    <n v="0"/>
    <n v="1"/>
    <x v="0"/>
  </r>
  <r>
    <n v="175"/>
    <n v="64"/>
    <s v="58-66"/>
    <x v="0"/>
    <x v="1"/>
    <n v="145"/>
    <x v="0"/>
    <n v="212"/>
    <s v="201-300"/>
    <n v="0"/>
    <n v="2"/>
    <n v="132"/>
    <s v="131-160"/>
    <n v="0"/>
    <n v="2"/>
    <s v="1-2"/>
    <n v="1"/>
    <n v="2"/>
    <n v="2"/>
    <x v="1"/>
  </r>
  <r>
    <n v="176"/>
    <n v="57"/>
    <s v="58-66"/>
    <x v="0"/>
    <x v="1"/>
    <n v="152"/>
    <x v="1"/>
    <n v="274"/>
    <s v="201-300"/>
    <n v="0"/>
    <n v="0"/>
    <n v="88"/>
    <s v="71-100"/>
    <n v="1"/>
    <n v="1.2"/>
    <s v="1-2"/>
    <n v="1"/>
    <n v="1"/>
    <n v="3"/>
    <x v="1"/>
  </r>
  <r>
    <n v="177"/>
    <n v="52"/>
    <s v="48-56"/>
    <x v="0"/>
    <x v="1"/>
    <n v="108"/>
    <x v="2"/>
    <n v="233"/>
    <s v="201-300"/>
    <n v="1"/>
    <n v="0"/>
    <n v="147"/>
    <s v="131-160"/>
    <n v="0"/>
    <n v="0.1"/>
    <s v="0.1-1"/>
    <n v="0"/>
    <n v="3"/>
    <n v="3"/>
    <x v="0"/>
  </r>
  <r>
    <n v="178"/>
    <n v="56"/>
    <s v="48-56"/>
    <x v="0"/>
    <x v="1"/>
    <n v="132"/>
    <x v="0"/>
    <n v="184"/>
    <s v="126-200"/>
    <n v="0"/>
    <n v="2"/>
    <n v="105"/>
    <s v="101-130"/>
    <n v="1"/>
    <n v="2.1"/>
    <s v="2-3"/>
    <n v="1"/>
    <n v="1"/>
    <n v="2"/>
    <x v="1"/>
  </r>
  <r>
    <n v="179"/>
    <n v="43"/>
    <s v="38-46"/>
    <x v="0"/>
    <x v="2"/>
    <n v="130"/>
    <x v="0"/>
    <n v="315"/>
    <s v="301-400"/>
    <n v="0"/>
    <n v="0"/>
    <n v="162"/>
    <s v="161-190"/>
    <n v="0"/>
    <n v="1.9"/>
    <s v="1-2"/>
    <n v="0"/>
    <n v="1"/>
    <n v="1"/>
    <x v="0"/>
  </r>
  <r>
    <n v="180"/>
    <n v="53"/>
    <s v="48-56"/>
    <x v="0"/>
    <x v="2"/>
    <n v="130"/>
    <x v="0"/>
    <n v="246"/>
    <s v="201-300"/>
    <n v="1"/>
    <n v="2"/>
    <n v="173"/>
    <s v="161-190"/>
    <n v="0"/>
    <n v="0"/>
    <s v="0.1-1"/>
    <n v="0"/>
    <n v="3"/>
    <n v="1"/>
    <x v="0"/>
  </r>
  <r>
    <n v="181"/>
    <n v="48"/>
    <s v="48-56"/>
    <x v="0"/>
    <x v="1"/>
    <n v="124"/>
    <x v="0"/>
    <n v="274"/>
    <s v="201-300"/>
    <n v="0"/>
    <n v="2"/>
    <n v="166"/>
    <s v="161-190"/>
    <n v="0"/>
    <n v="0.5"/>
    <s v="0.1-1"/>
    <n v="1"/>
    <n v="0"/>
    <n v="3"/>
    <x v="1"/>
  </r>
  <r>
    <n v="182"/>
    <n v="56"/>
    <s v="48-56"/>
    <x v="1"/>
    <x v="1"/>
    <n v="134"/>
    <x v="0"/>
    <n v="409"/>
    <s v="401-500"/>
    <n v="0"/>
    <n v="2"/>
    <n v="150"/>
    <s v="131-160"/>
    <n v="1"/>
    <n v="1.9"/>
    <s v="1-2"/>
    <n v="1"/>
    <n v="2"/>
    <n v="3"/>
    <x v="1"/>
  </r>
  <r>
    <n v="183"/>
    <n v="42"/>
    <s v="38-46"/>
    <x v="0"/>
    <x v="0"/>
    <n v="148"/>
    <x v="0"/>
    <n v="244"/>
    <s v="201-300"/>
    <n v="0"/>
    <n v="2"/>
    <n v="178"/>
    <s v="161-190"/>
    <n v="0"/>
    <n v="0.8"/>
    <s v="0.1-1"/>
    <n v="0"/>
    <n v="2"/>
    <n v="1"/>
    <x v="0"/>
  </r>
  <r>
    <n v="184"/>
    <n v="59"/>
    <s v="58-66"/>
    <x v="0"/>
    <x v="0"/>
    <n v="178"/>
    <x v="1"/>
    <n v="270"/>
    <s v="201-300"/>
    <n v="0"/>
    <n v="2"/>
    <n v="145"/>
    <s v="131-160"/>
    <n v="0"/>
    <n v="4.2"/>
    <s v="5-6"/>
    <n v="2"/>
    <n v="0"/>
    <n v="3"/>
    <x v="0"/>
  </r>
  <r>
    <n v="185"/>
    <n v="60"/>
    <s v="58-66"/>
    <x v="1"/>
    <x v="1"/>
    <n v="158"/>
    <x v="1"/>
    <n v="305"/>
    <s v="301-400"/>
    <n v="0"/>
    <n v="2"/>
    <n v="161"/>
    <s v="161-190"/>
    <n v="0"/>
    <n v="0"/>
    <s v="0.1-1"/>
    <n v="0"/>
    <n v="0"/>
    <n v="1"/>
    <x v="1"/>
  </r>
  <r>
    <n v="186"/>
    <n v="63"/>
    <s v="58-66"/>
    <x v="1"/>
    <x v="3"/>
    <n v="140"/>
    <x v="0"/>
    <n v="195"/>
    <s v="126-200"/>
    <n v="0"/>
    <n v="0"/>
    <n v="179"/>
    <s v="161-190"/>
    <n v="0"/>
    <n v="0"/>
    <s v="0.1-1"/>
    <n v="0"/>
    <n v="2"/>
    <n v="1"/>
    <x v="0"/>
  </r>
  <r>
    <n v="187"/>
    <n v="42"/>
    <s v="38-46"/>
    <x v="0"/>
    <x v="2"/>
    <n v="120"/>
    <x v="2"/>
    <n v="240"/>
    <s v="201-300"/>
    <n v="1"/>
    <n v="0"/>
    <n v="194"/>
    <s v="190+"/>
    <n v="0"/>
    <n v="0.8"/>
    <s v="0.1-1"/>
    <n v="2"/>
    <n v="0"/>
    <n v="3"/>
    <x v="0"/>
  </r>
  <r>
    <n v="188"/>
    <n v="66"/>
    <s v="58-66"/>
    <x v="0"/>
    <x v="3"/>
    <n v="160"/>
    <x v="1"/>
    <n v="246"/>
    <s v="201-300"/>
    <n v="0"/>
    <n v="0"/>
    <n v="120"/>
    <s v="101-130"/>
    <n v="1"/>
    <n v="0"/>
    <s v="0.1-1"/>
    <n v="1"/>
    <n v="3"/>
    <n v="2"/>
    <x v="1"/>
  </r>
  <r>
    <n v="189"/>
    <n v="54"/>
    <s v="48-56"/>
    <x v="0"/>
    <x v="3"/>
    <n v="192"/>
    <x v="3"/>
    <n v="283"/>
    <s v="201-300"/>
    <n v="0"/>
    <n v="2"/>
    <n v="195"/>
    <s v="190+"/>
    <n v="0"/>
    <n v="0"/>
    <s v="0.1-1"/>
    <n v="0"/>
    <n v="1"/>
    <n v="3"/>
    <x v="1"/>
  </r>
  <r>
    <n v="190"/>
    <n v="69"/>
    <s v="66+"/>
    <x v="0"/>
    <x v="2"/>
    <n v="140"/>
    <x v="0"/>
    <n v="254"/>
    <s v="201-300"/>
    <n v="0"/>
    <n v="2"/>
    <n v="146"/>
    <s v="131-160"/>
    <n v="0"/>
    <n v="2"/>
    <s v="1-2"/>
    <n v="1"/>
    <n v="3"/>
    <n v="3"/>
    <x v="1"/>
  </r>
  <r>
    <n v="191"/>
    <n v="50"/>
    <s v="48-56"/>
    <x v="0"/>
    <x v="2"/>
    <n v="129"/>
    <x v="0"/>
    <n v="196"/>
    <s v="126-200"/>
    <n v="0"/>
    <n v="0"/>
    <n v="163"/>
    <s v="161-190"/>
    <n v="0"/>
    <n v="0"/>
    <s v="0.1-1"/>
    <n v="0"/>
    <n v="0"/>
    <n v="1"/>
    <x v="0"/>
  </r>
  <r>
    <n v="192"/>
    <n v="51"/>
    <s v="48-56"/>
    <x v="0"/>
    <x v="1"/>
    <n v="140"/>
    <x v="0"/>
    <n v="298"/>
    <s v="201-300"/>
    <n v="0"/>
    <n v="0"/>
    <n v="122"/>
    <s v="101-130"/>
    <n v="1"/>
    <n v="4.2"/>
    <s v="5-6"/>
    <n v="1"/>
    <n v="3"/>
    <n v="3"/>
    <x v="1"/>
  </r>
  <r>
    <n v="193"/>
    <n v="43"/>
    <s v="38-46"/>
    <x v="0"/>
    <x v="1"/>
    <n v="132"/>
    <x v="0"/>
    <n v="247"/>
    <s v="201-300"/>
    <n v="1"/>
    <n v="2"/>
    <n v="143"/>
    <s v="131-160"/>
    <n v="1"/>
    <n v="0.1"/>
    <s v="0.1-1"/>
    <n v="1"/>
    <n v="0"/>
    <n v="3"/>
    <x v="1"/>
  </r>
  <r>
    <n v="194"/>
    <n v="62"/>
    <s v="58-66"/>
    <x v="1"/>
    <x v="1"/>
    <n v="138"/>
    <x v="0"/>
    <n v="294"/>
    <s v="201-300"/>
    <n v="1"/>
    <n v="0"/>
    <n v="106"/>
    <s v="101-130"/>
    <n v="0"/>
    <n v="1.9"/>
    <s v="1-2"/>
    <n v="1"/>
    <n v="3"/>
    <n v="1"/>
    <x v="1"/>
  </r>
  <r>
    <n v="195"/>
    <n v="68"/>
    <s v="66+"/>
    <x v="1"/>
    <x v="2"/>
    <n v="120"/>
    <x v="2"/>
    <n v="211"/>
    <s v="201-300"/>
    <n v="0"/>
    <n v="2"/>
    <n v="115"/>
    <s v="101-130"/>
    <n v="0"/>
    <n v="1.5"/>
    <s v="1-2"/>
    <n v="1"/>
    <n v="0"/>
    <n v="1"/>
    <x v="0"/>
  </r>
  <r>
    <n v="196"/>
    <n v="67"/>
    <s v="66+"/>
    <x v="0"/>
    <x v="1"/>
    <n v="100"/>
    <x v="2"/>
    <n v="299"/>
    <s v="201-300"/>
    <n v="0"/>
    <n v="2"/>
    <n v="125"/>
    <s v="101-130"/>
    <n v="1"/>
    <n v="0.9"/>
    <s v="0.1-1"/>
    <n v="1"/>
    <n v="2"/>
    <n v="1"/>
    <x v="1"/>
  </r>
  <r>
    <n v="197"/>
    <n v="69"/>
    <s v="66+"/>
    <x v="0"/>
    <x v="0"/>
    <n v="160"/>
    <x v="1"/>
    <n v="234"/>
    <s v="201-300"/>
    <n v="1"/>
    <n v="2"/>
    <n v="131"/>
    <s v="131-160"/>
    <n v="0"/>
    <n v="0.1"/>
    <s v="0.1-1"/>
    <n v="1"/>
    <n v="1"/>
    <n v="1"/>
    <x v="0"/>
  </r>
  <r>
    <n v="198"/>
    <n v="45"/>
    <s v="38-46"/>
    <x v="1"/>
    <x v="1"/>
    <n v="138"/>
    <x v="0"/>
    <n v="236"/>
    <s v="201-300"/>
    <n v="0"/>
    <n v="2"/>
    <n v="152"/>
    <s v="131-160"/>
    <n v="1"/>
    <n v="0.2"/>
    <s v="0.1-1"/>
    <n v="1"/>
    <n v="0"/>
    <n v="1"/>
    <x v="0"/>
  </r>
  <r>
    <n v="199"/>
    <n v="50"/>
    <s v="48-56"/>
    <x v="1"/>
    <x v="3"/>
    <n v="120"/>
    <x v="2"/>
    <n v="244"/>
    <s v="201-300"/>
    <n v="0"/>
    <n v="0"/>
    <n v="162"/>
    <s v="161-190"/>
    <n v="0"/>
    <n v="1.1000000000000001"/>
    <s v="1-2"/>
    <n v="0"/>
    <n v="0"/>
    <n v="1"/>
    <x v="0"/>
  </r>
  <r>
    <n v="200"/>
    <n v="59"/>
    <s v="58-66"/>
    <x v="0"/>
    <x v="0"/>
    <n v="160"/>
    <x v="1"/>
    <n v="273"/>
    <s v="201-300"/>
    <n v="0"/>
    <n v="2"/>
    <n v="125"/>
    <s v="101-130"/>
    <n v="0"/>
    <n v="0"/>
    <s v="0.1-1"/>
    <n v="0"/>
    <n v="0"/>
    <n v="1"/>
    <x v="1"/>
  </r>
  <r>
    <n v="201"/>
    <n v="50"/>
    <s v="48-56"/>
    <x v="1"/>
    <x v="1"/>
    <n v="110"/>
    <x v="2"/>
    <n v="254"/>
    <s v="201-300"/>
    <n v="0"/>
    <n v="2"/>
    <n v="159"/>
    <s v="131-160"/>
    <n v="0"/>
    <n v="0"/>
    <s v="0.1-1"/>
    <n v="0"/>
    <n v="0"/>
    <n v="1"/>
    <x v="0"/>
  </r>
  <r>
    <n v="202"/>
    <n v="64"/>
    <s v="58-66"/>
    <x v="1"/>
    <x v="1"/>
    <n v="180"/>
    <x v="3"/>
    <n v="325"/>
    <s v="301-400"/>
    <n v="0"/>
    <n v="0"/>
    <n v="154"/>
    <s v="131-160"/>
    <n v="1"/>
    <n v="0"/>
    <s v="0.1-1"/>
    <n v="0"/>
    <n v="0"/>
    <n v="1"/>
    <x v="0"/>
  </r>
  <r>
    <n v="203"/>
    <n v="57"/>
    <s v="58-66"/>
    <x v="0"/>
    <x v="2"/>
    <n v="150"/>
    <x v="0"/>
    <n v="126"/>
    <s v="126-200"/>
    <n v="1"/>
    <n v="0"/>
    <n v="173"/>
    <s v="161-190"/>
    <n v="0"/>
    <n v="0.2"/>
    <s v="0.1-1"/>
    <n v="0"/>
    <n v="1"/>
    <n v="3"/>
    <x v="0"/>
  </r>
  <r>
    <n v="204"/>
    <n v="64"/>
    <s v="58-66"/>
    <x v="1"/>
    <x v="2"/>
    <n v="140"/>
    <x v="0"/>
    <n v="313"/>
    <s v="301-400"/>
    <n v="0"/>
    <n v="0"/>
    <n v="133"/>
    <s v="131-160"/>
    <n v="0"/>
    <n v="0.2"/>
    <s v="0.1-1"/>
    <n v="0"/>
    <n v="0"/>
    <n v="3"/>
    <x v="0"/>
  </r>
  <r>
    <n v="205"/>
    <n v="43"/>
    <s v="38-46"/>
    <x v="0"/>
    <x v="1"/>
    <n v="110"/>
    <x v="2"/>
    <n v="211"/>
    <s v="201-300"/>
    <n v="0"/>
    <n v="0"/>
    <n v="161"/>
    <s v="161-190"/>
    <n v="0"/>
    <n v="0"/>
    <s v="0.1-1"/>
    <n v="0"/>
    <n v="0"/>
    <n v="3"/>
    <x v="0"/>
  </r>
  <r>
    <n v="206"/>
    <n v="45"/>
    <s v="38-46"/>
    <x v="0"/>
    <x v="1"/>
    <n v="142"/>
    <x v="0"/>
    <n v="309"/>
    <s v="301-400"/>
    <n v="0"/>
    <n v="2"/>
    <n v="147"/>
    <s v="131-160"/>
    <n v="1"/>
    <n v="0"/>
    <s v="0.1-1"/>
    <n v="1"/>
    <n v="3"/>
    <n v="3"/>
    <x v="1"/>
  </r>
  <r>
    <n v="207"/>
    <n v="58"/>
    <s v="58-66"/>
    <x v="0"/>
    <x v="1"/>
    <n v="128"/>
    <x v="0"/>
    <n v="259"/>
    <s v="201-300"/>
    <n v="0"/>
    <n v="2"/>
    <n v="130"/>
    <s v="101-130"/>
    <n v="1"/>
    <n v="3"/>
    <s v="2-3"/>
    <n v="1"/>
    <n v="2"/>
    <n v="3"/>
    <x v="1"/>
  </r>
  <r>
    <n v="208"/>
    <n v="50"/>
    <s v="48-56"/>
    <x v="0"/>
    <x v="1"/>
    <n v="144"/>
    <x v="0"/>
    <n v="200"/>
    <s v="126-200"/>
    <n v="0"/>
    <n v="2"/>
    <n v="126"/>
    <s v="101-130"/>
    <n v="1"/>
    <n v="0.9"/>
    <s v="0.1-1"/>
    <n v="1"/>
    <n v="0"/>
    <n v="3"/>
    <x v="1"/>
  </r>
  <r>
    <n v="209"/>
    <n v="55"/>
    <s v="48-56"/>
    <x v="0"/>
    <x v="3"/>
    <n v="130"/>
    <x v="0"/>
    <n v="262"/>
    <s v="201-300"/>
    <n v="0"/>
    <n v="0"/>
    <n v="155"/>
    <s v="131-160"/>
    <n v="0"/>
    <n v="0"/>
    <s v="0.1-1"/>
    <n v="0"/>
    <n v="0"/>
    <n v="1"/>
    <x v="0"/>
  </r>
  <r>
    <n v="210"/>
    <n v="62"/>
    <s v="58-66"/>
    <x v="1"/>
    <x v="1"/>
    <n v="150"/>
    <x v="0"/>
    <n v="244"/>
    <s v="201-300"/>
    <n v="0"/>
    <n v="0"/>
    <n v="154"/>
    <s v="131-160"/>
    <n v="1"/>
    <n v="1.4"/>
    <s v="1-2"/>
    <n v="1"/>
    <n v="0"/>
    <n v="1"/>
    <x v="1"/>
  </r>
  <r>
    <n v="211"/>
    <n v="37"/>
    <s v="38-46"/>
    <x v="1"/>
    <x v="2"/>
    <n v="120"/>
    <x v="2"/>
    <n v="215"/>
    <s v="201-300"/>
    <n v="0"/>
    <n v="0"/>
    <n v="170"/>
    <s v="161-190"/>
    <n v="0"/>
    <n v="0"/>
    <s v="0.1-1"/>
    <n v="0"/>
    <n v="0"/>
    <n v="1"/>
    <x v="0"/>
  </r>
  <r>
    <n v="212"/>
    <n v="38"/>
    <s v="38-46"/>
    <x v="0"/>
    <x v="0"/>
    <n v="120"/>
    <x v="2"/>
    <n v="231"/>
    <s v="201-300"/>
    <n v="0"/>
    <n v="0"/>
    <n v="182"/>
    <s v="161-190"/>
    <n v="1"/>
    <n v="3.8"/>
    <s v="3-4"/>
    <n v="1"/>
    <n v="0"/>
    <n v="3"/>
    <x v="1"/>
  </r>
  <r>
    <n v="213"/>
    <n v="41"/>
    <s v="38-46"/>
    <x v="0"/>
    <x v="2"/>
    <n v="130"/>
    <x v="0"/>
    <n v="214"/>
    <s v="201-300"/>
    <n v="0"/>
    <n v="2"/>
    <n v="168"/>
    <s v="161-190"/>
    <n v="0"/>
    <n v="2"/>
    <s v="1-2"/>
    <n v="1"/>
    <n v="0"/>
    <n v="1"/>
    <x v="0"/>
  </r>
  <r>
    <n v="214"/>
    <n v="66"/>
    <s v="58-66"/>
    <x v="1"/>
    <x v="1"/>
    <n v="178"/>
    <x v="1"/>
    <n v="228"/>
    <s v="201-300"/>
    <n v="1"/>
    <n v="0"/>
    <n v="165"/>
    <s v="161-190"/>
    <n v="1"/>
    <n v="1"/>
    <s v="0.1-1"/>
    <n v="1"/>
    <n v="2"/>
    <n v="3"/>
    <x v="1"/>
  </r>
  <r>
    <n v="215"/>
    <n v="52"/>
    <s v="48-56"/>
    <x v="0"/>
    <x v="1"/>
    <n v="112"/>
    <x v="2"/>
    <n v="230"/>
    <s v="201-300"/>
    <n v="0"/>
    <n v="0"/>
    <n v="160"/>
    <s v="131-160"/>
    <n v="0"/>
    <n v="0"/>
    <s v="0.1-1"/>
    <n v="0"/>
    <n v="1"/>
    <n v="1"/>
    <x v="1"/>
  </r>
  <r>
    <n v="216"/>
    <n v="56"/>
    <s v="48-56"/>
    <x v="0"/>
    <x v="0"/>
    <n v="120"/>
    <x v="2"/>
    <n v="193"/>
    <s v="126-200"/>
    <n v="0"/>
    <n v="2"/>
    <n v="162"/>
    <s v="161-190"/>
    <n v="0"/>
    <n v="1.9"/>
    <s v="1-2"/>
    <n v="1"/>
    <n v="0"/>
    <n v="3"/>
    <x v="0"/>
  </r>
  <r>
    <n v="217"/>
    <n v="46"/>
    <s v="38-46"/>
    <x v="1"/>
    <x v="3"/>
    <n v="105"/>
    <x v="2"/>
    <n v="204"/>
    <s v="201-300"/>
    <n v="0"/>
    <n v="0"/>
    <n v="172"/>
    <s v="161-190"/>
    <n v="0"/>
    <n v="0"/>
    <s v="0.1-1"/>
    <n v="0"/>
    <n v="0"/>
    <n v="1"/>
    <x v="0"/>
  </r>
  <r>
    <n v="218"/>
    <n v="46"/>
    <s v="38-46"/>
    <x v="1"/>
    <x v="1"/>
    <n v="138"/>
    <x v="0"/>
    <n v="243"/>
    <s v="201-300"/>
    <n v="0"/>
    <n v="2"/>
    <n v="152"/>
    <s v="131-160"/>
    <n v="1"/>
    <n v="0"/>
    <s v="0.1-1"/>
    <n v="1"/>
    <n v="0"/>
    <n v="1"/>
    <x v="0"/>
  </r>
  <r>
    <n v="219"/>
    <n v="64"/>
    <s v="58-66"/>
    <x v="1"/>
    <x v="1"/>
    <n v="130"/>
    <x v="0"/>
    <n v="303"/>
    <s v="301-400"/>
    <n v="0"/>
    <n v="0"/>
    <n v="122"/>
    <s v="101-130"/>
    <n v="0"/>
    <n v="2"/>
    <s v="1-2"/>
    <n v="1"/>
    <n v="2"/>
    <n v="1"/>
    <x v="0"/>
  </r>
  <r>
    <n v="220"/>
    <n v="59"/>
    <s v="58-66"/>
    <x v="0"/>
    <x v="1"/>
    <n v="138"/>
    <x v="0"/>
    <n v="271"/>
    <s v="201-300"/>
    <n v="0"/>
    <n v="2"/>
    <n v="182"/>
    <s v="161-190"/>
    <n v="0"/>
    <n v="0"/>
    <s v="0.1-1"/>
    <n v="0"/>
    <n v="0"/>
    <n v="1"/>
    <x v="0"/>
  </r>
  <r>
    <n v="221"/>
    <n v="41"/>
    <s v="38-46"/>
    <x v="1"/>
    <x v="2"/>
    <n v="112"/>
    <x v="2"/>
    <n v="268"/>
    <s v="201-300"/>
    <n v="0"/>
    <n v="2"/>
    <n v="172"/>
    <s v="161-190"/>
    <n v="1"/>
    <n v="0"/>
    <s v="0.1-1"/>
    <n v="0"/>
    <n v="0"/>
    <n v="1"/>
    <x v="0"/>
  </r>
  <r>
    <n v="222"/>
    <n v="54"/>
    <s v="48-56"/>
    <x v="1"/>
    <x v="2"/>
    <n v="108"/>
    <x v="2"/>
    <n v="267"/>
    <s v="201-300"/>
    <n v="0"/>
    <n v="2"/>
    <n v="167"/>
    <s v="161-190"/>
    <n v="0"/>
    <n v="0"/>
    <s v="0.1-1"/>
    <n v="0"/>
    <n v="0"/>
    <n v="1"/>
    <x v="0"/>
  </r>
  <r>
    <n v="223"/>
    <n v="39"/>
    <s v="38-46"/>
    <x v="1"/>
    <x v="2"/>
    <n v="94"/>
    <x v="2"/>
    <n v="199"/>
    <s v="126-200"/>
    <n v="0"/>
    <n v="0"/>
    <n v="179"/>
    <s v="161-190"/>
    <n v="0"/>
    <n v="0"/>
    <s v="0.1-1"/>
    <n v="0"/>
    <n v="0"/>
    <n v="1"/>
    <x v="0"/>
  </r>
  <r>
    <n v="224"/>
    <n v="53"/>
    <s v="48-56"/>
    <x v="0"/>
    <x v="1"/>
    <n v="123"/>
    <x v="0"/>
    <n v="282"/>
    <s v="201-300"/>
    <n v="0"/>
    <n v="0"/>
    <n v="95"/>
    <s v="71-100"/>
    <n v="1"/>
    <n v="2"/>
    <s v="1-2"/>
    <n v="1"/>
    <n v="2"/>
    <n v="3"/>
    <x v="1"/>
  </r>
  <r>
    <n v="225"/>
    <n v="63"/>
    <s v="58-66"/>
    <x v="1"/>
    <x v="1"/>
    <n v="108"/>
    <x v="2"/>
    <n v="269"/>
    <s v="201-300"/>
    <n v="0"/>
    <n v="0"/>
    <n v="169"/>
    <s v="161-190"/>
    <n v="1"/>
    <n v="1.8"/>
    <s v="1-2"/>
    <n v="1"/>
    <n v="2"/>
    <n v="1"/>
    <x v="1"/>
  </r>
  <r>
    <n v="226"/>
    <n v="34"/>
    <s v="27-36"/>
    <x v="1"/>
    <x v="3"/>
    <n v="118"/>
    <x v="2"/>
    <n v="210"/>
    <s v="201-300"/>
    <n v="0"/>
    <n v="0"/>
    <n v="192"/>
    <s v="190+"/>
    <n v="0"/>
    <n v="0.7"/>
    <s v="0.1-1"/>
    <n v="0"/>
    <n v="0"/>
    <n v="1"/>
    <x v="0"/>
  </r>
  <r>
    <n v="227"/>
    <n v="47"/>
    <s v="48-56"/>
    <x v="0"/>
    <x v="1"/>
    <n v="112"/>
    <x v="2"/>
    <n v="204"/>
    <s v="201-300"/>
    <n v="0"/>
    <n v="0"/>
    <n v="143"/>
    <s v="131-160"/>
    <n v="0"/>
    <n v="0.1"/>
    <s v="0.1-1"/>
    <n v="0"/>
    <n v="0"/>
    <n v="1"/>
    <x v="0"/>
  </r>
  <r>
    <n v="228"/>
    <n v="67"/>
    <s v="66+"/>
    <x v="1"/>
    <x v="2"/>
    <n v="152"/>
    <x v="1"/>
    <n v="277"/>
    <s v="201-300"/>
    <n v="0"/>
    <n v="0"/>
    <n v="172"/>
    <s v="161-190"/>
    <n v="0"/>
    <n v="0"/>
    <s v="0.1-1"/>
    <n v="0"/>
    <n v="1"/>
    <n v="1"/>
    <x v="0"/>
  </r>
  <r>
    <n v="229"/>
    <n v="54"/>
    <s v="48-56"/>
    <x v="0"/>
    <x v="1"/>
    <n v="110"/>
    <x v="2"/>
    <n v="206"/>
    <s v="201-300"/>
    <n v="0"/>
    <n v="2"/>
    <n v="108"/>
    <s v="101-130"/>
    <n v="1"/>
    <n v="0"/>
    <s v="0.1-1"/>
    <n v="1"/>
    <n v="1"/>
    <n v="1"/>
    <x v="1"/>
  </r>
  <r>
    <n v="230"/>
    <n v="66"/>
    <s v="58-66"/>
    <x v="0"/>
    <x v="1"/>
    <n v="112"/>
    <x v="2"/>
    <n v="212"/>
    <s v="201-300"/>
    <n v="0"/>
    <n v="2"/>
    <n v="132"/>
    <s v="131-160"/>
    <n v="1"/>
    <n v="0.1"/>
    <s v="0.1-1"/>
    <n v="0"/>
    <n v="1"/>
    <n v="1"/>
    <x v="1"/>
  </r>
  <r>
    <n v="231"/>
    <n v="52"/>
    <s v="48-56"/>
    <x v="1"/>
    <x v="2"/>
    <n v="136"/>
    <x v="0"/>
    <n v="196"/>
    <s v="126-200"/>
    <n v="0"/>
    <n v="2"/>
    <n v="169"/>
    <s v="161-190"/>
    <n v="0"/>
    <n v="0.1"/>
    <s v="0.1-1"/>
    <n v="1"/>
    <n v="0"/>
    <n v="1"/>
    <x v="0"/>
  </r>
  <r>
    <n v="232"/>
    <n v="55"/>
    <s v="48-56"/>
    <x v="1"/>
    <x v="1"/>
    <n v="180"/>
    <x v="3"/>
    <n v="327"/>
    <s v="301-400"/>
    <n v="0"/>
    <n v="1"/>
    <n v="117"/>
    <s v="101-130"/>
    <n v="1"/>
    <n v="3.4"/>
    <s v="3-4"/>
    <n v="1"/>
    <n v="0"/>
    <n v="1"/>
    <x v="1"/>
  </r>
  <r>
    <n v="233"/>
    <n v="49"/>
    <s v="48-56"/>
    <x v="0"/>
    <x v="2"/>
    <n v="118"/>
    <x v="2"/>
    <n v="149"/>
    <s v="126-200"/>
    <n v="0"/>
    <n v="2"/>
    <n v="126"/>
    <s v="101-130"/>
    <n v="0"/>
    <n v="0.8"/>
    <s v="0.1-1"/>
    <n v="0"/>
    <n v="3"/>
    <n v="1"/>
    <x v="1"/>
  </r>
  <r>
    <n v="234"/>
    <n v="74"/>
    <s v="66+"/>
    <x v="1"/>
    <x v="3"/>
    <n v="120"/>
    <x v="2"/>
    <n v="269"/>
    <s v="201-300"/>
    <n v="0"/>
    <n v="2"/>
    <n v="121"/>
    <s v="101-130"/>
    <n v="1"/>
    <n v="0.2"/>
    <s v="0.1-1"/>
    <n v="0"/>
    <n v="1"/>
    <n v="1"/>
    <x v="0"/>
  </r>
  <r>
    <n v="235"/>
    <n v="54"/>
    <s v="48-56"/>
    <x v="1"/>
    <x v="2"/>
    <n v="160"/>
    <x v="1"/>
    <n v="201"/>
    <s v="201-300"/>
    <n v="0"/>
    <n v="0"/>
    <n v="163"/>
    <s v="161-190"/>
    <n v="0"/>
    <n v="0"/>
    <s v="0.1-1"/>
    <n v="0"/>
    <n v="1"/>
    <n v="1"/>
    <x v="0"/>
  </r>
  <r>
    <n v="236"/>
    <n v="54"/>
    <s v="48-56"/>
    <x v="0"/>
    <x v="1"/>
    <n v="122"/>
    <x v="0"/>
    <n v="286"/>
    <s v="201-300"/>
    <n v="0"/>
    <n v="2"/>
    <n v="116"/>
    <s v="101-130"/>
    <n v="1"/>
    <n v="3.2"/>
    <s v="3-4"/>
    <n v="1"/>
    <n v="2"/>
    <n v="1"/>
    <x v="1"/>
  </r>
  <r>
    <n v="237"/>
    <n v="56"/>
    <s v="48-56"/>
    <x v="0"/>
    <x v="1"/>
    <n v="130"/>
    <x v="0"/>
    <n v="283"/>
    <s v="201-300"/>
    <n v="1"/>
    <n v="2"/>
    <n v="103"/>
    <s v="101-130"/>
    <n v="1"/>
    <n v="1.6"/>
    <s v="1-2"/>
    <n v="2"/>
    <n v="0"/>
    <n v="3"/>
    <x v="1"/>
  </r>
  <r>
    <n v="238"/>
    <n v="46"/>
    <s v="38-46"/>
    <x v="0"/>
    <x v="1"/>
    <n v="120"/>
    <x v="2"/>
    <n v="249"/>
    <s v="201-300"/>
    <n v="0"/>
    <n v="2"/>
    <n v="144"/>
    <s v="131-160"/>
    <n v="0"/>
    <n v="0.8"/>
    <s v="0.1-1"/>
    <n v="0"/>
    <n v="0"/>
    <n v="3"/>
    <x v="1"/>
  </r>
  <r>
    <n v="239"/>
    <n v="49"/>
    <s v="48-56"/>
    <x v="1"/>
    <x v="3"/>
    <n v="134"/>
    <x v="0"/>
    <n v="271"/>
    <s v="201-300"/>
    <n v="0"/>
    <n v="0"/>
    <n v="162"/>
    <s v="161-190"/>
    <n v="0"/>
    <n v="0"/>
    <s v="0.1-1"/>
    <n v="1"/>
    <n v="0"/>
    <n v="1"/>
    <x v="0"/>
  </r>
  <r>
    <n v="240"/>
    <n v="42"/>
    <s v="38-46"/>
    <x v="0"/>
    <x v="3"/>
    <n v="120"/>
    <x v="2"/>
    <n v="295"/>
    <s v="201-300"/>
    <n v="0"/>
    <n v="0"/>
    <n v="162"/>
    <s v="161-190"/>
    <n v="0"/>
    <n v="0"/>
    <s v="0.1-1"/>
    <n v="0"/>
    <n v="0"/>
    <n v="1"/>
    <x v="0"/>
  </r>
  <r>
    <n v="241"/>
    <n v="41"/>
    <s v="38-46"/>
    <x v="0"/>
    <x v="3"/>
    <n v="110"/>
    <x v="2"/>
    <n v="235"/>
    <s v="201-300"/>
    <n v="0"/>
    <n v="0"/>
    <n v="153"/>
    <s v="131-160"/>
    <n v="0"/>
    <n v="0"/>
    <s v="0.1-1"/>
    <n v="0"/>
    <n v="0"/>
    <n v="1"/>
    <x v="0"/>
  </r>
  <r>
    <n v="242"/>
    <n v="41"/>
    <s v="38-46"/>
    <x v="1"/>
    <x v="3"/>
    <n v="126"/>
    <x v="0"/>
    <n v="306"/>
    <s v="301-400"/>
    <n v="0"/>
    <n v="0"/>
    <n v="163"/>
    <s v="161-190"/>
    <n v="0"/>
    <n v="0"/>
    <s v="0.1-1"/>
    <n v="0"/>
    <n v="0"/>
    <n v="1"/>
    <x v="0"/>
  </r>
  <r>
    <n v="243"/>
    <n v="49"/>
    <s v="48-56"/>
    <x v="1"/>
    <x v="1"/>
    <n v="130"/>
    <x v="0"/>
    <n v="269"/>
    <s v="201-300"/>
    <n v="0"/>
    <n v="0"/>
    <n v="163"/>
    <s v="161-190"/>
    <n v="0"/>
    <n v="0"/>
    <s v="0.1-1"/>
    <n v="0"/>
    <n v="0"/>
    <n v="1"/>
    <x v="0"/>
  </r>
  <r>
    <n v="244"/>
    <n v="61"/>
    <s v="58-66"/>
    <x v="0"/>
    <x v="0"/>
    <n v="134"/>
    <x v="0"/>
    <n v="234"/>
    <s v="201-300"/>
    <n v="0"/>
    <n v="0"/>
    <n v="145"/>
    <s v="131-160"/>
    <n v="0"/>
    <n v="2.6"/>
    <s v="2-3"/>
    <n v="1"/>
    <n v="2"/>
    <n v="1"/>
    <x v="1"/>
  </r>
  <r>
    <n v="245"/>
    <n v="60"/>
    <s v="58-66"/>
    <x v="1"/>
    <x v="2"/>
    <n v="120"/>
    <x v="2"/>
    <n v="178"/>
    <s v="126-200"/>
    <n v="1"/>
    <n v="0"/>
    <n v="96"/>
    <s v="71-100"/>
    <n v="0"/>
    <n v="0"/>
    <s v="0.1-1"/>
    <n v="0"/>
    <n v="0"/>
    <n v="1"/>
    <x v="0"/>
  </r>
  <r>
    <n v="246"/>
    <n v="67"/>
    <s v="66+"/>
    <x v="0"/>
    <x v="1"/>
    <n v="120"/>
    <x v="2"/>
    <n v="237"/>
    <s v="201-300"/>
    <n v="0"/>
    <n v="0"/>
    <n v="71"/>
    <s v="71-100"/>
    <n v="0"/>
    <n v="1"/>
    <s v="0.1-1"/>
    <n v="1"/>
    <n v="0"/>
    <n v="1"/>
    <x v="1"/>
  </r>
  <r>
    <n v="247"/>
    <n v="58"/>
    <s v="58-66"/>
    <x v="0"/>
    <x v="1"/>
    <n v="100"/>
    <x v="2"/>
    <n v="234"/>
    <s v="201-300"/>
    <n v="0"/>
    <n v="0"/>
    <n v="156"/>
    <s v="131-160"/>
    <n v="0"/>
    <n v="0.1"/>
    <s v="0.1-1"/>
    <n v="0"/>
    <n v="1"/>
    <n v="3"/>
    <x v="1"/>
  </r>
  <r>
    <n v="248"/>
    <n v="47"/>
    <s v="48-56"/>
    <x v="0"/>
    <x v="1"/>
    <n v="110"/>
    <x v="2"/>
    <n v="275"/>
    <s v="201-300"/>
    <n v="0"/>
    <n v="2"/>
    <n v="118"/>
    <s v="101-130"/>
    <n v="1"/>
    <n v="1"/>
    <s v="0.1-1"/>
    <n v="1"/>
    <n v="1"/>
    <n v="1"/>
    <x v="1"/>
  </r>
  <r>
    <n v="249"/>
    <n v="52"/>
    <s v="48-56"/>
    <x v="0"/>
    <x v="1"/>
    <n v="125"/>
    <x v="0"/>
    <n v="212"/>
    <s v="201-300"/>
    <n v="0"/>
    <n v="0"/>
    <n v="168"/>
    <s v="161-190"/>
    <n v="0"/>
    <n v="1"/>
    <s v="0.1-1"/>
    <n v="0"/>
    <n v="2"/>
    <n v="3"/>
    <x v="1"/>
  </r>
  <r>
    <n v="250"/>
    <n v="62"/>
    <s v="58-66"/>
    <x v="0"/>
    <x v="3"/>
    <n v="128"/>
    <x v="0"/>
    <n v="208"/>
    <s v="201-300"/>
    <n v="1"/>
    <n v="2"/>
    <n v="140"/>
    <s v="131-160"/>
    <n v="0"/>
    <n v="0"/>
    <s v="0.1-1"/>
    <n v="0"/>
    <n v="0"/>
    <n v="1"/>
    <x v="0"/>
  </r>
  <r>
    <n v="251"/>
    <n v="57"/>
    <s v="58-66"/>
    <x v="0"/>
    <x v="1"/>
    <n v="110"/>
    <x v="2"/>
    <n v="201"/>
    <s v="201-300"/>
    <n v="0"/>
    <n v="0"/>
    <n v="126"/>
    <s v="101-130"/>
    <n v="1"/>
    <n v="1.5"/>
    <s v="1-2"/>
    <n v="1"/>
    <n v="0"/>
    <n v="2"/>
    <x v="0"/>
  </r>
  <r>
    <n v="252"/>
    <n v="58"/>
    <s v="58-66"/>
    <x v="0"/>
    <x v="1"/>
    <n v="146"/>
    <x v="0"/>
    <n v="218"/>
    <s v="201-300"/>
    <n v="0"/>
    <n v="0"/>
    <n v="105"/>
    <s v="101-130"/>
    <n v="0"/>
    <n v="2"/>
    <s v="1-2"/>
    <n v="1"/>
    <n v="1"/>
    <n v="3"/>
    <x v="1"/>
  </r>
  <r>
    <n v="253"/>
    <n v="64"/>
    <s v="58-66"/>
    <x v="0"/>
    <x v="1"/>
    <n v="128"/>
    <x v="0"/>
    <n v="263"/>
    <s v="201-300"/>
    <n v="0"/>
    <n v="0"/>
    <n v="105"/>
    <s v="101-130"/>
    <n v="1"/>
    <n v="0.2"/>
    <s v="0.1-1"/>
    <n v="1"/>
    <n v="1"/>
    <n v="3"/>
    <x v="0"/>
  </r>
  <r>
    <n v="254"/>
    <n v="51"/>
    <s v="48-56"/>
    <x v="1"/>
    <x v="2"/>
    <n v="120"/>
    <x v="2"/>
    <n v="295"/>
    <s v="201-300"/>
    <n v="0"/>
    <n v="2"/>
    <n v="157"/>
    <s v="131-160"/>
    <n v="0"/>
    <n v="0.6"/>
    <s v="0.1-1"/>
    <n v="0"/>
    <n v="0"/>
    <n v="1"/>
    <x v="0"/>
  </r>
  <r>
    <n v="255"/>
    <n v="43"/>
    <s v="38-46"/>
    <x v="0"/>
    <x v="1"/>
    <n v="115"/>
    <x v="2"/>
    <n v="303"/>
    <s v="301-400"/>
    <n v="0"/>
    <n v="0"/>
    <n v="181"/>
    <s v="161-190"/>
    <n v="0"/>
    <n v="1.2"/>
    <s v="1-2"/>
    <n v="1"/>
    <n v="0"/>
    <n v="1"/>
    <x v="0"/>
  </r>
  <r>
    <n v="256"/>
    <n v="42"/>
    <s v="38-46"/>
    <x v="1"/>
    <x v="2"/>
    <n v="120"/>
    <x v="2"/>
    <n v="209"/>
    <s v="201-300"/>
    <n v="0"/>
    <n v="0"/>
    <n v="173"/>
    <s v="161-190"/>
    <n v="0"/>
    <n v="0"/>
    <s v="0.1-1"/>
    <n v="1"/>
    <n v="0"/>
    <n v="1"/>
    <x v="0"/>
  </r>
  <r>
    <n v="257"/>
    <n v="67"/>
    <s v="66+"/>
    <x v="1"/>
    <x v="1"/>
    <n v="106"/>
    <x v="2"/>
    <n v="223"/>
    <s v="201-300"/>
    <n v="0"/>
    <n v="0"/>
    <n v="142"/>
    <s v="131-160"/>
    <n v="0"/>
    <n v="0.3"/>
    <s v="0.1-1"/>
    <n v="0"/>
    <n v="2"/>
    <n v="1"/>
    <x v="0"/>
  </r>
  <r>
    <n v="258"/>
    <n v="76"/>
    <s v="66+"/>
    <x v="1"/>
    <x v="2"/>
    <n v="140"/>
    <x v="0"/>
    <n v="197"/>
    <s v="126-200"/>
    <n v="0"/>
    <n v="1"/>
    <n v="116"/>
    <s v="101-130"/>
    <n v="0"/>
    <n v="1.1000000000000001"/>
    <s v="1-2"/>
    <n v="1"/>
    <n v="0"/>
    <n v="1"/>
    <x v="0"/>
  </r>
  <r>
    <n v="259"/>
    <n v="70"/>
    <s v="66+"/>
    <x v="0"/>
    <x v="3"/>
    <n v="156"/>
    <x v="1"/>
    <n v="245"/>
    <s v="201-300"/>
    <n v="0"/>
    <n v="2"/>
    <n v="143"/>
    <s v="131-160"/>
    <n v="0"/>
    <n v="0"/>
    <s v="0.1-1"/>
    <n v="0"/>
    <n v="0"/>
    <n v="1"/>
    <x v="0"/>
  </r>
  <r>
    <n v="260"/>
    <n v="57"/>
    <s v="58-66"/>
    <x v="0"/>
    <x v="3"/>
    <n v="124"/>
    <x v="0"/>
    <n v="261"/>
    <s v="201-300"/>
    <n v="0"/>
    <n v="0"/>
    <n v="141"/>
    <s v="131-160"/>
    <n v="0"/>
    <n v="0.3"/>
    <s v="0.1-1"/>
    <n v="0"/>
    <n v="0"/>
    <n v="3"/>
    <x v="1"/>
  </r>
  <r>
    <n v="261"/>
    <n v="44"/>
    <s v="38-46"/>
    <x v="1"/>
    <x v="2"/>
    <n v="118"/>
    <x v="2"/>
    <n v="242"/>
    <s v="201-300"/>
    <n v="0"/>
    <n v="0"/>
    <n v="149"/>
    <s v="131-160"/>
    <n v="0"/>
    <n v="0.3"/>
    <s v="0.1-1"/>
    <n v="1"/>
    <n v="1"/>
    <n v="1"/>
    <x v="0"/>
  </r>
  <r>
    <n v="262"/>
    <n v="58"/>
    <s v="58-66"/>
    <x v="1"/>
    <x v="3"/>
    <n v="136"/>
    <x v="0"/>
    <n v="319"/>
    <s v="301-400"/>
    <n v="1"/>
    <n v="2"/>
    <n v="152"/>
    <s v="131-160"/>
    <n v="0"/>
    <n v="0"/>
    <s v="0.1-1"/>
    <n v="0"/>
    <n v="2"/>
    <n v="1"/>
    <x v="1"/>
  </r>
  <r>
    <n v="263"/>
    <n v="60"/>
    <s v="58-66"/>
    <x v="1"/>
    <x v="0"/>
    <n v="150"/>
    <x v="0"/>
    <n v="240"/>
    <s v="201-300"/>
    <n v="0"/>
    <n v="0"/>
    <n v="171"/>
    <s v="161-190"/>
    <n v="0"/>
    <n v="0.9"/>
    <s v="0.1-1"/>
    <n v="0"/>
    <n v="0"/>
    <n v="1"/>
    <x v="0"/>
  </r>
  <r>
    <n v="264"/>
    <n v="44"/>
    <s v="38-46"/>
    <x v="0"/>
    <x v="2"/>
    <n v="120"/>
    <x v="2"/>
    <n v="226"/>
    <s v="201-300"/>
    <n v="0"/>
    <n v="0"/>
    <n v="169"/>
    <s v="161-190"/>
    <n v="0"/>
    <n v="0"/>
    <s v="0.1-1"/>
    <n v="0"/>
    <n v="0"/>
    <n v="1"/>
    <x v="0"/>
  </r>
  <r>
    <n v="265"/>
    <n v="61"/>
    <s v="58-66"/>
    <x v="0"/>
    <x v="1"/>
    <n v="138"/>
    <x v="0"/>
    <n v="166"/>
    <s v="126-200"/>
    <n v="0"/>
    <n v="2"/>
    <n v="125"/>
    <s v="101-130"/>
    <n v="1"/>
    <n v="3.6"/>
    <s v="3-4"/>
    <n v="1"/>
    <n v="1"/>
    <n v="1"/>
    <x v="1"/>
  </r>
  <r>
    <n v="266"/>
    <n v="42"/>
    <s v="38-46"/>
    <x v="0"/>
    <x v="1"/>
    <n v="136"/>
    <x v="0"/>
    <n v="315"/>
    <s v="301-400"/>
    <n v="0"/>
    <n v="0"/>
    <n v="125"/>
    <s v="101-130"/>
    <n v="1"/>
    <n v="1.8"/>
    <s v="1-2"/>
    <n v="1"/>
    <n v="0"/>
    <n v="2"/>
    <x v="1"/>
  </r>
  <r>
    <n v="267"/>
    <n v="52"/>
    <s v="48-56"/>
    <x v="0"/>
    <x v="1"/>
    <n v="128"/>
    <x v="0"/>
    <n v="204"/>
    <s v="201-300"/>
    <n v="1"/>
    <n v="0"/>
    <n v="156"/>
    <s v="131-160"/>
    <n v="1"/>
    <n v="1"/>
    <s v="0.1-1"/>
    <n v="1"/>
    <n v="0"/>
    <n v="1"/>
    <x v="1"/>
  </r>
  <r>
    <n v="268"/>
    <n v="59"/>
    <s v="58-66"/>
    <x v="0"/>
    <x v="2"/>
    <n v="126"/>
    <x v="0"/>
    <n v="218"/>
    <s v="201-300"/>
    <n v="1"/>
    <n v="0"/>
    <n v="134"/>
    <s v="131-160"/>
    <n v="0"/>
    <n v="2.2000000000000002"/>
    <s v="2-3"/>
    <n v="1"/>
    <n v="1"/>
    <n v="2"/>
    <x v="1"/>
  </r>
  <r>
    <n v="269"/>
    <n v="40"/>
    <s v="38-46"/>
    <x v="0"/>
    <x v="1"/>
    <n v="152"/>
    <x v="1"/>
    <n v="223"/>
    <s v="201-300"/>
    <n v="0"/>
    <n v="0"/>
    <n v="181"/>
    <s v="161-190"/>
    <n v="0"/>
    <n v="0"/>
    <s v="0.1-1"/>
    <n v="0"/>
    <n v="0"/>
    <n v="3"/>
    <x v="1"/>
  </r>
  <r>
    <n v="270"/>
    <n v="42"/>
    <s v="38-46"/>
    <x v="0"/>
    <x v="2"/>
    <n v="130"/>
    <x v="0"/>
    <n v="180"/>
    <s v="126-200"/>
    <n v="0"/>
    <n v="0"/>
    <n v="150"/>
    <s v="131-160"/>
    <n v="0"/>
    <n v="0"/>
    <s v="0.1-1"/>
    <n v="0"/>
    <n v="0"/>
    <n v="1"/>
    <x v="0"/>
  </r>
  <r>
    <n v="271"/>
    <n v="61"/>
    <s v="58-66"/>
    <x v="0"/>
    <x v="1"/>
    <n v="140"/>
    <x v="0"/>
    <n v="207"/>
    <s v="201-300"/>
    <n v="0"/>
    <n v="2"/>
    <n v="138"/>
    <s v="131-160"/>
    <n v="1"/>
    <n v="1.9"/>
    <s v="1-2"/>
    <n v="0"/>
    <n v="1"/>
    <n v="3"/>
    <x v="1"/>
  </r>
  <r>
    <n v="272"/>
    <n v="66"/>
    <s v="58-66"/>
    <x v="0"/>
    <x v="1"/>
    <n v="160"/>
    <x v="1"/>
    <n v="228"/>
    <s v="201-300"/>
    <n v="0"/>
    <n v="2"/>
    <n v="138"/>
    <s v="131-160"/>
    <n v="0"/>
    <n v="2.2999999999999998"/>
    <s v="2-3"/>
    <n v="0"/>
    <n v="0"/>
    <n v="2"/>
    <x v="0"/>
  </r>
  <r>
    <n v="273"/>
    <n v="46"/>
    <s v="38-46"/>
    <x v="0"/>
    <x v="1"/>
    <n v="140"/>
    <x v="0"/>
    <n v="311"/>
    <s v="301-400"/>
    <n v="0"/>
    <n v="0"/>
    <n v="120"/>
    <s v="101-130"/>
    <n v="1"/>
    <n v="1.8"/>
    <s v="1-2"/>
    <n v="1"/>
    <n v="2"/>
    <n v="3"/>
    <x v="1"/>
  </r>
  <r>
    <n v="274"/>
    <n v="71"/>
    <s v="66+"/>
    <x v="1"/>
    <x v="1"/>
    <n v="112"/>
    <x v="2"/>
    <n v="149"/>
    <s v="126-200"/>
    <n v="0"/>
    <n v="0"/>
    <n v="125"/>
    <s v="101-130"/>
    <n v="0"/>
    <n v="1.6"/>
    <s v="1-2"/>
    <n v="1"/>
    <n v="0"/>
    <n v="1"/>
    <x v="0"/>
  </r>
  <r>
    <n v="275"/>
    <n v="59"/>
    <s v="58-66"/>
    <x v="0"/>
    <x v="0"/>
    <n v="134"/>
    <x v="0"/>
    <n v="204"/>
    <s v="201-300"/>
    <n v="0"/>
    <n v="0"/>
    <n v="162"/>
    <s v="161-190"/>
    <n v="0"/>
    <n v="0.8"/>
    <s v="0.1-1"/>
    <n v="0"/>
    <n v="2"/>
    <n v="1"/>
    <x v="1"/>
  </r>
  <r>
    <n v="276"/>
    <n v="64"/>
    <s v="58-66"/>
    <x v="0"/>
    <x v="0"/>
    <n v="170"/>
    <x v="1"/>
    <n v="227"/>
    <s v="201-300"/>
    <n v="0"/>
    <n v="2"/>
    <n v="155"/>
    <s v="131-160"/>
    <n v="0"/>
    <n v="0.6"/>
    <s v="0.1-1"/>
    <n v="1"/>
    <n v="0"/>
    <n v="3"/>
    <x v="0"/>
  </r>
  <r>
    <n v="277"/>
    <n v="66"/>
    <s v="58-66"/>
    <x v="1"/>
    <x v="2"/>
    <n v="146"/>
    <x v="0"/>
    <n v="278"/>
    <s v="201-300"/>
    <n v="0"/>
    <n v="2"/>
    <n v="152"/>
    <s v="131-160"/>
    <n v="0"/>
    <n v="0"/>
    <s v="0.1-1"/>
    <n v="1"/>
    <n v="1"/>
    <n v="1"/>
    <x v="0"/>
  </r>
  <r>
    <n v="278"/>
    <n v="39"/>
    <s v="38-46"/>
    <x v="1"/>
    <x v="2"/>
    <n v="138"/>
    <x v="0"/>
    <n v="220"/>
    <s v="201-300"/>
    <n v="0"/>
    <n v="0"/>
    <n v="152"/>
    <s v="131-160"/>
    <n v="0"/>
    <n v="0"/>
    <s v="0.1-1"/>
    <n v="1"/>
    <n v="0"/>
    <n v="1"/>
    <x v="0"/>
  </r>
  <r>
    <n v="279"/>
    <n v="57"/>
    <s v="58-66"/>
    <x v="0"/>
    <x v="3"/>
    <n v="154"/>
    <x v="1"/>
    <n v="232"/>
    <s v="201-300"/>
    <n v="0"/>
    <n v="2"/>
    <n v="164"/>
    <s v="161-190"/>
    <n v="0"/>
    <n v="0"/>
    <s v="0.1-1"/>
    <n v="0"/>
    <n v="1"/>
    <n v="1"/>
    <x v="1"/>
  </r>
  <r>
    <n v="280"/>
    <n v="58"/>
    <s v="58-66"/>
    <x v="1"/>
    <x v="1"/>
    <n v="130"/>
    <x v="0"/>
    <n v="197"/>
    <s v="126-200"/>
    <n v="0"/>
    <n v="0"/>
    <n v="131"/>
    <s v="131-160"/>
    <n v="0"/>
    <n v="0.6"/>
    <s v="0.1-1"/>
    <n v="1"/>
    <n v="0"/>
    <n v="1"/>
    <x v="0"/>
  </r>
  <r>
    <n v="281"/>
    <n v="57"/>
    <s v="58-66"/>
    <x v="0"/>
    <x v="1"/>
    <n v="110"/>
    <x v="2"/>
    <n v="335"/>
    <s v="301-400"/>
    <n v="0"/>
    <n v="0"/>
    <n v="143"/>
    <s v="131-160"/>
    <n v="1"/>
    <n v="3"/>
    <s v="2-3"/>
    <n v="1"/>
    <n v="1"/>
    <n v="3"/>
    <x v="1"/>
  </r>
  <r>
    <n v="282"/>
    <n v="47"/>
    <s v="48-56"/>
    <x v="0"/>
    <x v="2"/>
    <n v="130"/>
    <x v="0"/>
    <n v="253"/>
    <s v="201-300"/>
    <n v="0"/>
    <n v="0"/>
    <n v="179"/>
    <s v="161-190"/>
    <n v="0"/>
    <n v="0"/>
    <s v="0.1-1"/>
    <n v="0"/>
    <n v="0"/>
    <n v="1"/>
    <x v="0"/>
  </r>
  <r>
    <n v="283"/>
    <n v="55"/>
    <s v="48-56"/>
    <x v="1"/>
    <x v="1"/>
    <n v="128"/>
    <x v="0"/>
    <n v="205"/>
    <s v="201-300"/>
    <n v="0"/>
    <n v="1"/>
    <n v="130"/>
    <s v="101-130"/>
    <n v="1"/>
    <n v="2"/>
    <s v="1-2"/>
    <n v="1"/>
    <n v="1"/>
    <n v="3"/>
    <x v="1"/>
  </r>
  <r>
    <n v="284"/>
    <n v="35"/>
    <s v="27-36"/>
    <x v="0"/>
    <x v="3"/>
    <n v="122"/>
    <x v="0"/>
    <n v="192"/>
    <s v="126-200"/>
    <n v="0"/>
    <n v="0"/>
    <n v="174"/>
    <s v="161-190"/>
    <n v="0"/>
    <n v="0"/>
    <s v="0.1-1"/>
    <n v="0"/>
    <n v="0"/>
    <n v="1"/>
    <x v="0"/>
  </r>
  <r>
    <n v="285"/>
    <n v="61"/>
    <s v="58-66"/>
    <x v="0"/>
    <x v="1"/>
    <n v="148"/>
    <x v="0"/>
    <n v="203"/>
    <s v="201-300"/>
    <n v="0"/>
    <n v="0"/>
    <n v="161"/>
    <s v="161-190"/>
    <n v="0"/>
    <n v="0"/>
    <s v="0.1-1"/>
    <n v="0"/>
    <n v="1"/>
    <n v="3"/>
    <x v="1"/>
  </r>
  <r>
    <n v="286"/>
    <n v="58"/>
    <s v="58-66"/>
    <x v="0"/>
    <x v="1"/>
    <n v="114"/>
    <x v="2"/>
    <n v="318"/>
    <s v="301-400"/>
    <n v="0"/>
    <n v="1"/>
    <n v="140"/>
    <s v="131-160"/>
    <n v="0"/>
    <n v="4.4000000000000004"/>
    <s v="5-6"/>
    <n v="2"/>
    <n v="3"/>
    <n v="2"/>
    <x v="1"/>
  </r>
  <r>
    <n v="287"/>
    <n v="58"/>
    <s v="58-66"/>
    <x v="1"/>
    <x v="1"/>
    <n v="170"/>
    <x v="1"/>
    <n v="225"/>
    <s v="201-300"/>
    <n v="1"/>
    <n v="2"/>
    <n v="146"/>
    <s v="131-160"/>
    <n v="1"/>
    <n v="2.8"/>
    <s v="2-3"/>
    <n v="1"/>
    <n v="2"/>
    <n v="2"/>
    <x v="1"/>
  </r>
  <r>
    <n v="288"/>
    <n v="58"/>
    <s v="58-66"/>
    <x v="0"/>
    <x v="3"/>
    <n v="125"/>
    <x v="0"/>
    <n v="220"/>
    <s v="201-300"/>
    <n v="0"/>
    <n v="0"/>
    <n v="144"/>
    <s v="131-160"/>
    <n v="0"/>
    <n v="0.4"/>
    <s v="0.1-1"/>
    <n v="1"/>
    <n v="0"/>
    <n v="3"/>
    <x v="0"/>
  </r>
  <r>
    <n v="289"/>
    <n v="56"/>
    <s v="48-56"/>
    <x v="0"/>
    <x v="3"/>
    <n v="130"/>
    <x v="0"/>
    <n v="221"/>
    <s v="201-300"/>
    <n v="0"/>
    <n v="2"/>
    <n v="163"/>
    <s v="161-190"/>
    <n v="0"/>
    <n v="0"/>
    <s v="0.1-1"/>
    <n v="0"/>
    <n v="0"/>
    <n v="3"/>
    <x v="0"/>
  </r>
  <r>
    <n v="290"/>
    <n v="56"/>
    <s v="48-56"/>
    <x v="0"/>
    <x v="3"/>
    <n v="120"/>
    <x v="2"/>
    <n v="240"/>
    <s v="201-300"/>
    <n v="0"/>
    <n v="0"/>
    <n v="169"/>
    <s v="161-190"/>
    <n v="0"/>
    <n v="0"/>
    <s v="0.1-1"/>
    <n v="2"/>
    <n v="0"/>
    <n v="1"/>
    <x v="0"/>
  </r>
  <r>
    <n v="291"/>
    <n v="67"/>
    <s v="66+"/>
    <x v="0"/>
    <x v="2"/>
    <n v="152"/>
    <x v="1"/>
    <n v="212"/>
    <s v="201-300"/>
    <n v="0"/>
    <n v="2"/>
    <n v="150"/>
    <s v="131-160"/>
    <n v="0"/>
    <n v="0.8"/>
    <s v="0.1-1"/>
    <n v="1"/>
    <n v="0"/>
    <n v="3"/>
    <x v="1"/>
  </r>
  <r>
    <n v="292"/>
    <n v="55"/>
    <s v="48-56"/>
    <x v="1"/>
    <x v="3"/>
    <n v="132"/>
    <x v="0"/>
    <n v="342"/>
    <s v="301-400"/>
    <n v="0"/>
    <n v="0"/>
    <n v="166"/>
    <s v="161-190"/>
    <n v="0"/>
    <n v="1.2"/>
    <s v="1-2"/>
    <n v="0"/>
    <n v="0"/>
    <n v="1"/>
    <x v="0"/>
  </r>
  <r>
    <n v="293"/>
    <n v="44"/>
    <s v="38-46"/>
    <x v="0"/>
    <x v="1"/>
    <n v="120"/>
    <x v="2"/>
    <n v="169"/>
    <s v="126-200"/>
    <n v="0"/>
    <n v="0"/>
    <n v="144"/>
    <s v="131-160"/>
    <n v="1"/>
    <n v="2.8"/>
    <s v="2-3"/>
    <n v="2"/>
    <n v="0"/>
    <n v="2"/>
    <x v="1"/>
  </r>
  <r>
    <n v="294"/>
    <n v="63"/>
    <s v="58-66"/>
    <x v="0"/>
    <x v="1"/>
    <n v="140"/>
    <x v="0"/>
    <n v="187"/>
    <s v="126-200"/>
    <n v="0"/>
    <n v="2"/>
    <n v="144"/>
    <s v="131-160"/>
    <n v="1"/>
    <n v="4"/>
    <s v="3-4"/>
    <n v="0"/>
    <n v="2"/>
    <n v="3"/>
    <x v="1"/>
  </r>
  <r>
    <n v="295"/>
    <n v="63"/>
    <s v="58-66"/>
    <x v="1"/>
    <x v="1"/>
    <n v="124"/>
    <x v="0"/>
    <n v="197"/>
    <s v="126-200"/>
    <n v="0"/>
    <n v="0"/>
    <n v="136"/>
    <s v="131-160"/>
    <n v="1"/>
    <n v="0"/>
    <s v="0.1-1"/>
    <n v="1"/>
    <n v="0"/>
    <n v="1"/>
    <x v="1"/>
  </r>
  <r>
    <n v="296"/>
    <n v="41"/>
    <s v="38-46"/>
    <x v="0"/>
    <x v="3"/>
    <n v="120"/>
    <x v="2"/>
    <n v="157"/>
    <s v="126-200"/>
    <n v="0"/>
    <n v="0"/>
    <n v="182"/>
    <s v="161-190"/>
    <n v="0"/>
    <n v="0"/>
    <s v="0.1-1"/>
    <n v="0"/>
    <n v="0"/>
    <n v="1"/>
    <x v="0"/>
  </r>
  <r>
    <n v="297"/>
    <n v="59"/>
    <s v="58-66"/>
    <x v="0"/>
    <x v="1"/>
    <n v="164"/>
    <x v="1"/>
    <n v="176"/>
    <s v="126-200"/>
    <n v="1"/>
    <n v="2"/>
    <n v="90"/>
    <s v="71-100"/>
    <n v="0"/>
    <n v="1"/>
    <s v="0.1-1"/>
    <n v="1"/>
    <n v="2"/>
    <n v="2"/>
    <x v="1"/>
  </r>
  <r>
    <n v="298"/>
    <n v="57"/>
    <s v="58-66"/>
    <x v="1"/>
    <x v="1"/>
    <n v="140"/>
    <x v="0"/>
    <n v="241"/>
    <s v="201-300"/>
    <n v="0"/>
    <n v="0"/>
    <n v="123"/>
    <s v="101-130"/>
    <n v="1"/>
    <n v="0.2"/>
    <s v="0.1-1"/>
    <n v="1"/>
    <n v="0"/>
    <n v="3"/>
    <x v="1"/>
  </r>
  <r>
    <n v="299"/>
    <n v="45"/>
    <s v="38-46"/>
    <x v="0"/>
    <x v="0"/>
    <n v="110"/>
    <x v="2"/>
    <n v="264"/>
    <s v="201-300"/>
    <n v="0"/>
    <n v="0"/>
    <n v="132"/>
    <s v="131-160"/>
    <n v="0"/>
    <n v="1.2"/>
    <s v="1-2"/>
    <n v="1"/>
    <n v="0"/>
    <n v="3"/>
    <x v="1"/>
  </r>
  <r>
    <n v="300"/>
    <n v="68"/>
    <s v="66+"/>
    <x v="0"/>
    <x v="1"/>
    <n v="144"/>
    <x v="0"/>
    <n v="193"/>
    <s v="126-200"/>
    <n v="1"/>
    <n v="0"/>
    <n v="141"/>
    <s v="131-160"/>
    <n v="0"/>
    <n v="3.4"/>
    <s v="3-4"/>
    <n v="1"/>
    <n v="2"/>
    <n v="3"/>
    <x v="1"/>
  </r>
  <r>
    <n v="301"/>
    <n v="57"/>
    <s v="58-66"/>
    <x v="0"/>
    <x v="1"/>
    <n v="130"/>
    <x v="0"/>
    <n v="131"/>
    <s v="126-200"/>
    <n v="0"/>
    <n v="0"/>
    <n v="115"/>
    <s v="101-130"/>
    <n v="1"/>
    <n v="1.2"/>
    <s v="1-2"/>
    <n v="1"/>
    <n v="1"/>
    <n v="3"/>
    <x v="1"/>
  </r>
  <r>
    <n v="302"/>
    <n v="57"/>
    <s v="58-66"/>
    <x v="1"/>
    <x v="3"/>
    <n v="130"/>
    <x v="0"/>
    <n v="236"/>
    <s v="201-300"/>
    <n v="0"/>
    <n v="2"/>
    <n v="174"/>
    <s v="161-190"/>
    <n v="0"/>
    <n v="0"/>
    <s v="0.1-1"/>
    <n v="1"/>
    <n v="1"/>
    <n v="1"/>
    <x v="1"/>
  </r>
  <r>
    <n v="303"/>
    <n v="38"/>
    <s v="38-46"/>
    <x v="0"/>
    <x v="2"/>
    <n v="138"/>
    <x v="0"/>
    <n v="175"/>
    <s v="126-200"/>
    <n v="0"/>
    <n v="0"/>
    <n v="173"/>
    <s v="161-190"/>
    <n v="0"/>
    <n v="0"/>
    <s v="0.1-1"/>
    <n v="0"/>
    <n v="0"/>
    <n v="1"/>
    <x v="0"/>
  </r>
  <r>
    <m/>
    <m/>
    <m/>
    <x v="2"/>
    <x v="4"/>
    <m/>
    <x v="4"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"/>
    <n v="63"/>
    <x v="0"/>
    <m/>
    <n v="1"/>
    <n v="0"/>
    <n v="145"/>
    <s v="121-150"/>
    <n v="233"/>
    <x v="0"/>
    <x v="0"/>
    <x v="0"/>
    <n v="150"/>
    <x v="0"/>
    <x v="0"/>
    <n v="2.2999999999999998"/>
    <x v="0"/>
    <x v="0"/>
    <x v="0"/>
    <x v="0"/>
    <x v="0"/>
  </r>
  <r>
    <n v="2"/>
    <n v="67"/>
    <x v="1"/>
    <m/>
    <n v="1"/>
    <n v="3"/>
    <n v="160"/>
    <s v="151-180"/>
    <n v="286"/>
    <x v="1"/>
    <x v="1"/>
    <x v="0"/>
    <n v="108"/>
    <x v="1"/>
    <x v="1"/>
    <n v="1.5"/>
    <x v="1"/>
    <x v="1"/>
    <x v="1"/>
    <x v="1"/>
    <x v="1"/>
  </r>
  <r>
    <n v="3"/>
    <n v="67"/>
    <x v="1"/>
    <m/>
    <n v="1"/>
    <n v="3"/>
    <n v="120"/>
    <s v="94-120"/>
    <n v="229"/>
    <x v="0"/>
    <x v="1"/>
    <x v="0"/>
    <n v="129"/>
    <x v="1"/>
    <x v="1"/>
    <n v="2.6"/>
    <x v="0"/>
    <x v="1"/>
    <x v="2"/>
    <x v="2"/>
    <x v="1"/>
  </r>
  <r>
    <n v="4"/>
    <n v="37"/>
    <x v="2"/>
    <m/>
    <n v="1"/>
    <n v="2"/>
    <n v="130"/>
    <s v="121-150"/>
    <n v="250"/>
    <x v="0"/>
    <x v="1"/>
    <x v="1"/>
    <n v="187"/>
    <x v="2"/>
    <x v="0"/>
    <n v="3.5"/>
    <x v="2"/>
    <x v="0"/>
    <x v="0"/>
    <x v="1"/>
    <x v="0"/>
  </r>
  <r>
    <n v="5"/>
    <n v="41"/>
    <x v="2"/>
    <m/>
    <n v="0"/>
    <n v="1"/>
    <n v="130"/>
    <s v="121-150"/>
    <n v="204"/>
    <x v="0"/>
    <x v="1"/>
    <x v="0"/>
    <n v="172"/>
    <x v="2"/>
    <x v="0"/>
    <n v="1.4"/>
    <x v="1"/>
    <x v="2"/>
    <x v="0"/>
    <x v="1"/>
    <x v="0"/>
  </r>
  <r>
    <n v="6"/>
    <n v="56"/>
    <x v="3"/>
    <m/>
    <n v="1"/>
    <n v="1"/>
    <n v="120"/>
    <s v="94-120"/>
    <n v="236"/>
    <x v="0"/>
    <x v="1"/>
    <x v="1"/>
    <n v="178"/>
    <x v="2"/>
    <x v="0"/>
    <n v="0.8"/>
    <x v="1"/>
    <x v="2"/>
    <x v="0"/>
    <x v="1"/>
    <x v="0"/>
  </r>
  <r>
    <n v="7"/>
    <n v="62"/>
    <x v="0"/>
    <m/>
    <n v="0"/>
    <n v="3"/>
    <n v="140"/>
    <s v="121-150"/>
    <n v="268"/>
    <x v="1"/>
    <x v="1"/>
    <x v="0"/>
    <n v="160"/>
    <x v="0"/>
    <x v="0"/>
    <n v="3.6"/>
    <x v="2"/>
    <x v="0"/>
    <x v="2"/>
    <x v="1"/>
    <x v="1"/>
  </r>
  <r>
    <n v="8"/>
    <n v="57"/>
    <x v="0"/>
    <m/>
    <n v="0"/>
    <n v="3"/>
    <n v="120"/>
    <s v="94-120"/>
    <n v="354"/>
    <x v="2"/>
    <x v="1"/>
    <x v="1"/>
    <n v="163"/>
    <x v="2"/>
    <x v="1"/>
    <n v="0.6"/>
    <x v="1"/>
    <x v="2"/>
    <x v="0"/>
    <x v="1"/>
    <x v="0"/>
  </r>
  <r>
    <n v="9"/>
    <n v="63"/>
    <x v="0"/>
    <m/>
    <n v="1"/>
    <n v="3"/>
    <n v="130"/>
    <s v="121-150"/>
    <n v="254"/>
    <x v="1"/>
    <x v="1"/>
    <x v="0"/>
    <n v="147"/>
    <x v="0"/>
    <x v="0"/>
    <n v="1.4"/>
    <x v="1"/>
    <x v="1"/>
    <x v="3"/>
    <x v="2"/>
    <x v="1"/>
  </r>
  <r>
    <n v="10"/>
    <n v="53"/>
    <x v="3"/>
    <m/>
    <n v="1"/>
    <n v="3"/>
    <n v="140"/>
    <s v="121-150"/>
    <n v="203"/>
    <x v="0"/>
    <x v="0"/>
    <x v="0"/>
    <n v="155"/>
    <x v="0"/>
    <x v="1"/>
    <n v="3.1"/>
    <x v="2"/>
    <x v="0"/>
    <x v="0"/>
    <x v="2"/>
    <x v="1"/>
  </r>
  <r>
    <n v="11"/>
    <n v="57"/>
    <x v="0"/>
    <m/>
    <n v="1"/>
    <n v="3"/>
    <n v="140"/>
    <s v="121-150"/>
    <n v="192"/>
    <x v="3"/>
    <x v="1"/>
    <x v="1"/>
    <n v="148"/>
    <x v="0"/>
    <x v="0"/>
    <n v="0.4"/>
    <x v="1"/>
    <x v="1"/>
    <x v="0"/>
    <x v="0"/>
    <x v="0"/>
  </r>
  <r>
    <n v="12"/>
    <n v="56"/>
    <x v="3"/>
    <m/>
    <n v="0"/>
    <n v="1"/>
    <n v="140"/>
    <s v="121-150"/>
    <n v="294"/>
    <x v="1"/>
    <x v="1"/>
    <x v="0"/>
    <n v="153"/>
    <x v="0"/>
    <x v="0"/>
    <n v="1.3"/>
    <x v="1"/>
    <x v="1"/>
    <x v="0"/>
    <x v="1"/>
    <x v="0"/>
  </r>
  <r>
    <n v="13"/>
    <n v="56"/>
    <x v="3"/>
    <m/>
    <n v="1"/>
    <n v="2"/>
    <n v="130"/>
    <s v="121-150"/>
    <n v="256"/>
    <x v="1"/>
    <x v="0"/>
    <x v="0"/>
    <n v="142"/>
    <x v="0"/>
    <x v="1"/>
    <n v="0.6"/>
    <x v="1"/>
    <x v="1"/>
    <x v="3"/>
    <x v="0"/>
    <x v="1"/>
  </r>
  <r>
    <n v="14"/>
    <n v="44"/>
    <x v="2"/>
    <m/>
    <n v="1"/>
    <n v="1"/>
    <n v="120"/>
    <s v="94-120"/>
    <n v="263"/>
    <x v="1"/>
    <x v="1"/>
    <x v="1"/>
    <n v="173"/>
    <x v="2"/>
    <x v="0"/>
    <n v="0"/>
    <x v="1"/>
    <x v="2"/>
    <x v="0"/>
    <x v="2"/>
    <x v="0"/>
  </r>
  <r>
    <n v="15"/>
    <n v="52"/>
    <x v="3"/>
    <m/>
    <n v="1"/>
    <n v="2"/>
    <n v="172"/>
    <s v="151-180"/>
    <n v="199"/>
    <x v="3"/>
    <x v="0"/>
    <x v="1"/>
    <n v="162"/>
    <x v="2"/>
    <x v="0"/>
    <n v="0.5"/>
    <x v="1"/>
    <x v="2"/>
    <x v="0"/>
    <x v="2"/>
    <x v="0"/>
  </r>
  <r>
    <n v="16"/>
    <n v="57"/>
    <x v="0"/>
    <m/>
    <n v="1"/>
    <n v="2"/>
    <n v="150"/>
    <s v="121-150"/>
    <n v="168"/>
    <x v="3"/>
    <x v="1"/>
    <x v="1"/>
    <n v="174"/>
    <x v="2"/>
    <x v="0"/>
    <n v="1.6"/>
    <x v="0"/>
    <x v="2"/>
    <x v="0"/>
    <x v="1"/>
    <x v="0"/>
  </r>
  <r>
    <n v="17"/>
    <n v="48"/>
    <x v="3"/>
    <m/>
    <n v="1"/>
    <n v="1"/>
    <n v="110"/>
    <s v="94-120"/>
    <n v="229"/>
    <x v="0"/>
    <x v="1"/>
    <x v="1"/>
    <n v="168"/>
    <x v="2"/>
    <x v="0"/>
    <n v="1"/>
    <x v="1"/>
    <x v="0"/>
    <x v="0"/>
    <x v="2"/>
    <x v="1"/>
  </r>
  <r>
    <n v="18"/>
    <n v="54"/>
    <x v="3"/>
    <m/>
    <n v="1"/>
    <n v="3"/>
    <n v="140"/>
    <s v="121-150"/>
    <n v="239"/>
    <x v="0"/>
    <x v="1"/>
    <x v="1"/>
    <n v="160"/>
    <x v="0"/>
    <x v="0"/>
    <n v="1.2"/>
    <x v="1"/>
    <x v="2"/>
    <x v="0"/>
    <x v="1"/>
    <x v="0"/>
  </r>
  <r>
    <n v="19"/>
    <n v="48"/>
    <x v="3"/>
    <m/>
    <n v="0"/>
    <n v="2"/>
    <n v="130"/>
    <s v="121-150"/>
    <n v="275"/>
    <x v="1"/>
    <x v="1"/>
    <x v="1"/>
    <n v="139"/>
    <x v="0"/>
    <x v="0"/>
    <n v="0.2"/>
    <x v="1"/>
    <x v="2"/>
    <x v="0"/>
    <x v="1"/>
    <x v="0"/>
  </r>
  <r>
    <n v="20"/>
    <n v="49"/>
    <x v="3"/>
    <m/>
    <n v="1"/>
    <n v="1"/>
    <n v="130"/>
    <s v="121-150"/>
    <n v="266"/>
    <x v="1"/>
    <x v="1"/>
    <x v="1"/>
    <n v="171"/>
    <x v="2"/>
    <x v="0"/>
    <n v="0.6"/>
    <x v="1"/>
    <x v="2"/>
    <x v="0"/>
    <x v="1"/>
    <x v="0"/>
  </r>
  <r>
    <n v="21"/>
    <n v="64"/>
    <x v="0"/>
    <m/>
    <n v="1"/>
    <n v="0"/>
    <n v="110"/>
    <s v="94-120"/>
    <n v="211"/>
    <x v="0"/>
    <x v="1"/>
    <x v="0"/>
    <n v="144"/>
    <x v="0"/>
    <x v="1"/>
    <n v="1.8"/>
    <x v="0"/>
    <x v="1"/>
    <x v="0"/>
    <x v="1"/>
    <x v="0"/>
  </r>
  <r>
    <n v="22"/>
    <n v="58"/>
    <x v="0"/>
    <m/>
    <n v="0"/>
    <n v="0"/>
    <n v="150"/>
    <s v="121-150"/>
    <n v="283"/>
    <x v="1"/>
    <x v="0"/>
    <x v="0"/>
    <n v="162"/>
    <x v="2"/>
    <x v="0"/>
    <n v="1"/>
    <x v="1"/>
    <x v="2"/>
    <x v="0"/>
    <x v="1"/>
    <x v="0"/>
  </r>
  <r>
    <n v="23"/>
    <n v="58"/>
    <x v="0"/>
    <m/>
    <n v="1"/>
    <n v="1"/>
    <n v="120"/>
    <s v="94-120"/>
    <n v="284"/>
    <x v="1"/>
    <x v="1"/>
    <x v="0"/>
    <n v="160"/>
    <x v="0"/>
    <x v="0"/>
    <n v="1.8"/>
    <x v="0"/>
    <x v="1"/>
    <x v="0"/>
    <x v="1"/>
    <x v="1"/>
  </r>
  <r>
    <n v="24"/>
    <n v="58"/>
    <x v="0"/>
    <m/>
    <n v="1"/>
    <n v="2"/>
    <n v="132"/>
    <s v="121-150"/>
    <n v="224"/>
    <x v="0"/>
    <x v="1"/>
    <x v="0"/>
    <n v="173"/>
    <x v="2"/>
    <x v="0"/>
    <n v="3.2"/>
    <x v="2"/>
    <x v="2"/>
    <x v="2"/>
    <x v="2"/>
    <x v="1"/>
  </r>
  <r>
    <n v="25"/>
    <n v="60"/>
    <x v="0"/>
    <m/>
    <n v="1"/>
    <n v="3"/>
    <n v="130"/>
    <s v="121-150"/>
    <n v="206"/>
    <x v="0"/>
    <x v="1"/>
    <x v="0"/>
    <n v="132"/>
    <x v="0"/>
    <x v="1"/>
    <n v="2.4"/>
    <x v="0"/>
    <x v="1"/>
    <x v="2"/>
    <x v="2"/>
    <x v="1"/>
  </r>
  <r>
    <n v="26"/>
    <n v="50"/>
    <x v="3"/>
    <m/>
    <n v="0"/>
    <n v="2"/>
    <n v="120"/>
    <s v="94-120"/>
    <n v="219"/>
    <x v="0"/>
    <x v="1"/>
    <x v="1"/>
    <n v="158"/>
    <x v="0"/>
    <x v="0"/>
    <n v="1.6"/>
    <x v="0"/>
    <x v="1"/>
    <x v="0"/>
    <x v="1"/>
    <x v="0"/>
  </r>
  <r>
    <n v="27"/>
    <n v="58"/>
    <x v="0"/>
    <m/>
    <n v="0"/>
    <n v="2"/>
    <n v="120"/>
    <s v="94-120"/>
    <n v="340"/>
    <x v="4"/>
    <x v="1"/>
    <x v="1"/>
    <n v="172"/>
    <x v="2"/>
    <x v="0"/>
    <n v="0"/>
    <x v="1"/>
    <x v="2"/>
    <x v="0"/>
    <x v="1"/>
    <x v="0"/>
  </r>
  <r>
    <n v="28"/>
    <n v="66"/>
    <x v="0"/>
    <m/>
    <n v="0"/>
    <n v="0"/>
    <n v="150"/>
    <s v="121-150"/>
    <n v="226"/>
    <x v="0"/>
    <x v="1"/>
    <x v="1"/>
    <n v="114"/>
    <x v="1"/>
    <x v="0"/>
    <n v="2.6"/>
    <x v="0"/>
    <x v="0"/>
    <x v="0"/>
    <x v="1"/>
    <x v="0"/>
  </r>
  <r>
    <n v="29"/>
    <n v="43"/>
    <x v="2"/>
    <m/>
    <n v="1"/>
    <n v="3"/>
    <n v="150"/>
    <s v="121-150"/>
    <n v="247"/>
    <x v="0"/>
    <x v="1"/>
    <x v="1"/>
    <n v="171"/>
    <x v="2"/>
    <x v="0"/>
    <n v="1.5"/>
    <x v="1"/>
    <x v="2"/>
    <x v="0"/>
    <x v="1"/>
    <x v="0"/>
  </r>
  <r>
    <n v="30"/>
    <n v="40"/>
    <x v="2"/>
    <m/>
    <n v="1"/>
    <n v="3"/>
    <n v="110"/>
    <s v="94-120"/>
    <n v="167"/>
    <x v="3"/>
    <x v="1"/>
    <x v="0"/>
    <n v="114"/>
    <x v="1"/>
    <x v="1"/>
    <n v="2"/>
    <x v="0"/>
    <x v="1"/>
    <x v="0"/>
    <x v="2"/>
    <x v="1"/>
  </r>
  <r>
    <n v="31"/>
    <n v="69"/>
    <x v="1"/>
    <m/>
    <n v="0"/>
    <n v="0"/>
    <n v="140"/>
    <s v="121-150"/>
    <n v="239"/>
    <x v="0"/>
    <x v="1"/>
    <x v="1"/>
    <n v="151"/>
    <x v="0"/>
    <x v="0"/>
    <n v="1.8"/>
    <x v="0"/>
    <x v="2"/>
    <x v="2"/>
    <x v="1"/>
    <x v="0"/>
  </r>
  <r>
    <n v="32"/>
    <n v="60"/>
    <x v="0"/>
    <m/>
    <n v="1"/>
    <n v="3"/>
    <n v="117"/>
    <s v="94-120"/>
    <n v="230"/>
    <x v="0"/>
    <x v="0"/>
    <x v="1"/>
    <n v="160"/>
    <x v="0"/>
    <x v="1"/>
    <n v="1.4"/>
    <x v="1"/>
    <x v="2"/>
    <x v="2"/>
    <x v="2"/>
    <x v="1"/>
  </r>
  <r>
    <n v="33"/>
    <n v="64"/>
    <x v="0"/>
    <m/>
    <n v="1"/>
    <n v="2"/>
    <n v="140"/>
    <s v="121-150"/>
    <n v="335"/>
    <x v="4"/>
    <x v="1"/>
    <x v="1"/>
    <n v="158"/>
    <x v="0"/>
    <x v="0"/>
    <n v="0"/>
    <x v="1"/>
    <x v="2"/>
    <x v="0"/>
    <x v="1"/>
    <x v="1"/>
  </r>
  <r>
    <n v="34"/>
    <n v="59"/>
    <x v="0"/>
    <m/>
    <n v="1"/>
    <n v="3"/>
    <n v="135"/>
    <s v="121-150"/>
    <n v="234"/>
    <x v="0"/>
    <x v="1"/>
    <x v="1"/>
    <n v="161"/>
    <x v="2"/>
    <x v="0"/>
    <n v="0.5"/>
    <x v="1"/>
    <x v="1"/>
    <x v="0"/>
    <x v="2"/>
    <x v="0"/>
  </r>
  <r>
    <n v="35"/>
    <n v="44"/>
    <x v="2"/>
    <m/>
    <n v="1"/>
    <n v="2"/>
    <n v="130"/>
    <s v="121-150"/>
    <n v="233"/>
    <x v="0"/>
    <x v="1"/>
    <x v="1"/>
    <n v="179"/>
    <x v="2"/>
    <x v="1"/>
    <n v="0.4"/>
    <x v="1"/>
    <x v="2"/>
    <x v="0"/>
    <x v="1"/>
    <x v="0"/>
  </r>
  <r>
    <n v="36"/>
    <n v="42"/>
    <x v="2"/>
    <m/>
    <n v="1"/>
    <n v="3"/>
    <n v="140"/>
    <s v="121-150"/>
    <n v="226"/>
    <x v="0"/>
    <x v="1"/>
    <x v="1"/>
    <n v="178"/>
    <x v="2"/>
    <x v="0"/>
    <n v="0"/>
    <x v="1"/>
    <x v="2"/>
    <x v="0"/>
    <x v="1"/>
    <x v="0"/>
  </r>
  <r>
    <n v="37"/>
    <n v="43"/>
    <x v="2"/>
    <m/>
    <n v="1"/>
    <n v="3"/>
    <n v="120"/>
    <s v="94-120"/>
    <n v="177"/>
    <x v="3"/>
    <x v="1"/>
    <x v="0"/>
    <n v="120"/>
    <x v="1"/>
    <x v="1"/>
    <n v="2.5"/>
    <x v="0"/>
    <x v="1"/>
    <x v="0"/>
    <x v="2"/>
    <x v="1"/>
  </r>
  <r>
    <n v="38"/>
    <n v="57"/>
    <x v="0"/>
    <m/>
    <n v="1"/>
    <n v="3"/>
    <n v="150"/>
    <s v="121-150"/>
    <n v="276"/>
    <x v="1"/>
    <x v="1"/>
    <x v="0"/>
    <n v="112"/>
    <x v="1"/>
    <x v="1"/>
    <n v="0.6"/>
    <x v="1"/>
    <x v="1"/>
    <x v="3"/>
    <x v="0"/>
    <x v="1"/>
  </r>
  <r>
    <n v="39"/>
    <n v="55"/>
    <x v="3"/>
    <m/>
    <n v="1"/>
    <n v="3"/>
    <n v="132"/>
    <s v="121-150"/>
    <n v="353"/>
    <x v="2"/>
    <x v="1"/>
    <x v="1"/>
    <n v="132"/>
    <x v="0"/>
    <x v="1"/>
    <n v="1.2"/>
    <x v="1"/>
    <x v="1"/>
    <x v="3"/>
    <x v="2"/>
    <x v="1"/>
  </r>
  <r>
    <n v="40"/>
    <n v="61"/>
    <x v="0"/>
    <m/>
    <n v="1"/>
    <n v="2"/>
    <n v="150"/>
    <s v="121-150"/>
    <n v="243"/>
    <x v="0"/>
    <x v="0"/>
    <x v="1"/>
    <n v="137"/>
    <x v="0"/>
    <x v="1"/>
    <n v="1"/>
    <x v="1"/>
    <x v="1"/>
    <x v="0"/>
    <x v="1"/>
    <x v="0"/>
  </r>
  <r>
    <n v="41"/>
    <n v="65"/>
    <x v="0"/>
    <m/>
    <n v="0"/>
    <n v="3"/>
    <n v="150"/>
    <s v="121-150"/>
    <n v="225"/>
    <x v="0"/>
    <x v="1"/>
    <x v="0"/>
    <n v="114"/>
    <x v="1"/>
    <x v="0"/>
    <n v="1"/>
    <x v="1"/>
    <x v="1"/>
    <x v="1"/>
    <x v="2"/>
    <x v="1"/>
  </r>
  <r>
    <n v="42"/>
    <n v="40"/>
    <x v="2"/>
    <m/>
    <n v="1"/>
    <n v="0"/>
    <n v="140"/>
    <s v="121-150"/>
    <n v="199"/>
    <x v="3"/>
    <x v="1"/>
    <x v="1"/>
    <n v="178"/>
    <x v="2"/>
    <x v="1"/>
    <n v="1.4"/>
    <x v="1"/>
    <x v="2"/>
    <x v="0"/>
    <x v="2"/>
    <x v="0"/>
  </r>
  <r>
    <n v="43"/>
    <n v="71"/>
    <x v="1"/>
    <m/>
    <n v="0"/>
    <n v="1"/>
    <n v="160"/>
    <s v="151-180"/>
    <n v="302"/>
    <x v="4"/>
    <x v="1"/>
    <x v="1"/>
    <n v="162"/>
    <x v="2"/>
    <x v="0"/>
    <n v="0.4"/>
    <x v="1"/>
    <x v="2"/>
    <x v="2"/>
    <x v="1"/>
    <x v="0"/>
  </r>
  <r>
    <n v="44"/>
    <n v="59"/>
    <x v="0"/>
    <m/>
    <n v="1"/>
    <n v="2"/>
    <n v="150"/>
    <s v="121-150"/>
    <n v="212"/>
    <x v="0"/>
    <x v="0"/>
    <x v="1"/>
    <n v="157"/>
    <x v="0"/>
    <x v="0"/>
    <n v="1.6"/>
    <x v="0"/>
    <x v="2"/>
    <x v="0"/>
    <x v="1"/>
    <x v="0"/>
  </r>
  <r>
    <n v="45"/>
    <n v="61"/>
    <x v="0"/>
    <m/>
    <n v="0"/>
    <n v="3"/>
    <n v="130"/>
    <s v="121-150"/>
    <n v="330"/>
    <x v="4"/>
    <x v="1"/>
    <x v="0"/>
    <n v="169"/>
    <x v="2"/>
    <x v="0"/>
    <n v="0"/>
    <x v="1"/>
    <x v="2"/>
    <x v="0"/>
    <x v="1"/>
    <x v="1"/>
  </r>
  <r>
    <n v="46"/>
    <n v="58"/>
    <x v="0"/>
    <m/>
    <n v="1"/>
    <n v="2"/>
    <n v="112"/>
    <s v="94-120"/>
    <n v="230"/>
    <x v="0"/>
    <x v="1"/>
    <x v="0"/>
    <n v="165"/>
    <x v="2"/>
    <x v="0"/>
    <n v="2.5"/>
    <x v="0"/>
    <x v="1"/>
    <x v="3"/>
    <x v="2"/>
    <x v="1"/>
  </r>
  <r>
    <n v="47"/>
    <n v="51"/>
    <x v="3"/>
    <m/>
    <n v="1"/>
    <n v="2"/>
    <n v="110"/>
    <s v="94-120"/>
    <n v="175"/>
    <x v="3"/>
    <x v="1"/>
    <x v="1"/>
    <n v="123"/>
    <x v="1"/>
    <x v="0"/>
    <n v="0.6"/>
    <x v="1"/>
    <x v="2"/>
    <x v="0"/>
    <x v="1"/>
    <x v="0"/>
  </r>
  <r>
    <n v="48"/>
    <n v="50"/>
    <x v="3"/>
    <m/>
    <n v="1"/>
    <n v="3"/>
    <n v="150"/>
    <s v="121-150"/>
    <n v="243"/>
    <x v="0"/>
    <x v="1"/>
    <x v="0"/>
    <n v="128"/>
    <x v="1"/>
    <x v="0"/>
    <n v="2.6"/>
    <x v="0"/>
    <x v="1"/>
    <x v="0"/>
    <x v="2"/>
    <x v="1"/>
  </r>
  <r>
    <n v="49"/>
    <n v="65"/>
    <x v="0"/>
    <m/>
    <n v="0"/>
    <n v="2"/>
    <n v="140"/>
    <s v="121-150"/>
    <n v="417"/>
    <x v="2"/>
    <x v="0"/>
    <x v="0"/>
    <n v="157"/>
    <x v="0"/>
    <x v="0"/>
    <n v="0.8"/>
    <x v="1"/>
    <x v="2"/>
    <x v="3"/>
    <x v="1"/>
    <x v="0"/>
  </r>
  <r>
    <n v="50"/>
    <n v="53"/>
    <x v="3"/>
    <m/>
    <n v="1"/>
    <n v="2"/>
    <n v="130"/>
    <s v="121-150"/>
    <n v="197"/>
    <x v="3"/>
    <x v="0"/>
    <x v="0"/>
    <n v="152"/>
    <x v="0"/>
    <x v="0"/>
    <n v="1.2"/>
    <x v="1"/>
    <x v="0"/>
    <x v="0"/>
    <x v="1"/>
    <x v="0"/>
  </r>
  <r>
    <n v="51"/>
    <n v="41"/>
    <x v="2"/>
    <m/>
    <n v="0"/>
    <n v="1"/>
    <n v="105"/>
    <s v="94-120"/>
    <n v="198"/>
    <x v="3"/>
    <x v="1"/>
    <x v="1"/>
    <n v="168"/>
    <x v="2"/>
    <x v="0"/>
    <n v="0"/>
    <x v="1"/>
    <x v="2"/>
    <x v="3"/>
    <x v="1"/>
    <x v="0"/>
  </r>
  <r>
    <n v="52"/>
    <n v="65"/>
    <x v="0"/>
    <m/>
    <n v="1"/>
    <n v="3"/>
    <n v="120"/>
    <s v="94-120"/>
    <n v="177"/>
    <x v="3"/>
    <x v="1"/>
    <x v="1"/>
    <n v="140"/>
    <x v="0"/>
    <x v="0"/>
    <n v="0.4"/>
    <x v="1"/>
    <x v="2"/>
    <x v="0"/>
    <x v="2"/>
    <x v="0"/>
  </r>
  <r>
    <n v="53"/>
    <n v="44"/>
    <x v="2"/>
    <m/>
    <n v="1"/>
    <n v="3"/>
    <n v="112"/>
    <s v="94-120"/>
    <n v="290"/>
    <x v="1"/>
    <x v="1"/>
    <x v="0"/>
    <n v="153"/>
    <x v="0"/>
    <x v="0"/>
    <n v="0"/>
    <x v="1"/>
    <x v="2"/>
    <x v="3"/>
    <x v="1"/>
    <x v="1"/>
  </r>
  <r>
    <n v="54"/>
    <n v="44"/>
    <x v="2"/>
    <m/>
    <n v="1"/>
    <n v="1"/>
    <n v="130"/>
    <s v="121-150"/>
    <n v="219"/>
    <x v="0"/>
    <x v="1"/>
    <x v="0"/>
    <n v="188"/>
    <x v="2"/>
    <x v="0"/>
    <n v="0"/>
    <x v="1"/>
    <x v="2"/>
    <x v="0"/>
    <x v="1"/>
    <x v="0"/>
  </r>
  <r>
    <n v="55"/>
    <n v="60"/>
    <x v="0"/>
    <m/>
    <n v="1"/>
    <n v="3"/>
    <n v="130"/>
    <s v="121-150"/>
    <n v="253"/>
    <x v="1"/>
    <x v="1"/>
    <x v="1"/>
    <n v="144"/>
    <x v="0"/>
    <x v="1"/>
    <n v="1.4"/>
    <x v="1"/>
    <x v="2"/>
    <x v="3"/>
    <x v="2"/>
    <x v="1"/>
  </r>
  <r>
    <n v="56"/>
    <n v="54"/>
    <x v="3"/>
    <m/>
    <n v="1"/>
    <n v="3"/>
    <n v="124"/>
    <s v="121-150"/>
    <n v="266"/>
    <x v="1"/>
    <x v="1"/>
    <x v="0"/>
    <n v="109"/>
    <x v="1"/>
    <x v="1"/>
    <n v="2.2000000000000002"/>
    <x v="0"/>
    <x v="1"/>
    <x v="3"/>
    <x v="2"/>
    <x v="1"/>
  </r>
  <r>
    <n v="57"/>
    <n v="50"/>
    <x v="3"/>
    <m/>
    <n v="1"/>
    <n v="2"/>
    <n v="140"/>
    <s v="121-150"/>
    <n v="233"/>
    <x v="0"/>
    <x v="1"/>
    <x v="1"/>
    <n v="163"/>
    <x v="2"/>
    <x v="0"/>
    <n v="0.6"/>
    <x v="1"/>
    <x v="1"/>
    <x v="3"/>
    <x v="2"/>
    <x v="1"/>
  </r>
  <r>
    <n v="58"/>
    <n v="41"/>
    <x v="2"/>
    <m/>
    <n v="1"/>
    <n v="3"/>
    <n v="110"/>
    <s v="94-120"/>
    <n v="172"/>
    <x v="3"/>
    <x v="1"/>
    <x v="0"/>
    <n v="158"/>
    <x v="0"/>
    <x v="0"/>
    <n v="0"/>
    <x v="1"/>
    <x v="2"/>
    <x v="0"/>
    <x v="2"/>
    <x v="1"/>
  </r>
  <r>
    <n v="59"/>
    <n v="54"/>
    <x v="3"/>
    <m/>
    <n v="1"/>
    <n v="2"/>
    <n v="125"/>
    <s v="121-150"/>
    <n v="273"/>
    <x v="1"/>
    <x v="1"/>
    <x v="0"/>
    <n v="152"/>
    <x v="0"/>
    <x v="0"/>
    <n v="0.5"/>
    <x v="1"/>
    <x v="0"/>
    <x v="3"/>
    <x v="1"/>
    <x v="0"/>
  </r>
  <r>
    <n v="60"/>
    <n v="51"/>
    <x v="3"/>
    <m/>
    <n v="1"/>
    <n v="0"/>
    <n v="125"/>
    <s v="121-150"/>
    <n v="213"/>
    <x v="0"/>
    <x v="1"/>
    <x v="0"/>
    <n v="125"/>
    <x v="1"/>
    <x v="1"/>
    <n v="1.4"/>
    <x v="1"/>
    <x v="2"/>
    <x v="3"/>
    <x v="1"/>
    <x v="0"/>
  </r>
  <r>
    <n v="61"/>
    <n v="51"/>
    <x v="3"/>
    <m/>
    <n v="0"/>
    <n v="3"/>
    <n v="130"/>
    <s v="121-150"/>
    <n v="305"/>
    <x v="4"/>
    <x v="1"/>
    <x v="1"/>
    <n v="142"/>
    <x v="0"/>
    <x v="1"/>
    <n v="1.2"/>
    <x v="1"/>
    <x v="1"/>
    <x v="0"/>
    <x v="2"/>
    <x v="1"/>
  </r>
  <r>
    <n v="62"/>
    <n v="46"/>
    <x v="2"/>
    <m/>
    <n v="0"/>
    <n v="2"/>
    <n v="142"/>
    <s v="121-150"/>
    <n v="177"/>
    <x v="3"/>
    <x v="1"/>
    <x v="0"/>
    <n v="160"/>
    <x v="0"/>
    <x v="1"/>
    <n v="1.4"/>
    <x v="1"/>
    <x v="0"/>
    <x v="0"/>
    <x v="1"/>
    <x v="0"/>
  </r>
  <r>
    <n v="63"/>
    <n v="58"/>
    <x v="0"/>
    <m/>
    <n v="1"/>
    <n v="3"/>
    <n v="128"/>
    <s v="121-150"/>
    <n v="216"/>
    <x v="0"/>
    <x v="1"/>
    <x v="0"/>
    <n v="131"/>
    <x v="0"/>
    <x v="1"/>
    <n v="2.2000000000000002"/>
    <x v="0"/>
    <x v="1"/>
    <x v="1"/>
    <x v="2"/>
    <x v="1"/>
  </r>
  <r>
    <n v="64"/>
    <n v="54"/>
    <x v="3"/>
    <m/>
    <n v="0"/>
    <n v="2"/>
    <n v="135"/>
    <s v="121-150"/>
    <n v="304"/>
    <x v="4"/>
    <x v="0"/>
    <x v="1"/>
    <n v="170"/>
    <x v="2"/>
    <x v="0"/>
    <n v="0"/>
    <x v="1"/>
    <x v="2"/>
    <x v="0"/>
    <x v="1"/>
    <x v="0"/>
  </r>
  <r>
    <n v="65"/>
    <n v="54"/>
    <x v="3"/>
    <m/>
    <n v="1"/>
    <n v="3"/>
    <n v="120"/>
    <s v="94-120"/>
    <n v="188"/>
    <x v="3"/>
    <x v="1"/>
    <x v="1"/>
    <n v="113"/>
    <x v="1"/>
    <x v="0"/>
    <n v="1.4"/>
    <x v="1"/>
    <x v="1"/>
    <x v="3"/>
    <x v="2"/>
    <x v="1"/>
  </r>
  <r>
    <n v="66"/>
    <n v="60"/>
    <x v="0"/>
    <m/>
    <n v="1"/>
    <n v="3"/>
    <n v="145"/>
    <s v="121-150"/>
    <n v="282"/>
    <x v="1"/>
    <x v="1"/>
    <x v="0"/>
    <n v="142"/>
    <x v="0"/>
    <x v="1"/>
    <n v="2.8"/>
    <x v="0"/>
    <x v="1"/>
    <x v="2"/>
    <x v="2"/>
    <x v="1"/>
  </r>
  <r>
    <n v="67"/>
    <n v="60"/>
    <x v="0"/>
    <m/>
    <n v="1"/>
    <n v="2"/>
    <n v="140"/>
    <s v="121-150"/>
    <n v="185"/>
    <x v="3"/>
    <x v="1"/>
    <x v="0"/>
    <n v="155"/>
    <x v="0"/>
    <x v="0"/>
    <n v="3"/>
    <x v="2"/>
    <x v="1"/>
    <x v="0"/>
    <x v="1"/>
    <x v="1"/>
  </r>
  <r>
    <n v="68"/>
    <n v="54"/>
    <x v="3"/>
    <m/>
    <n v="1"/>
    <n v="2"/>
    <n v="150"/>
    <s v="121-150"/>
    <n v="232"/>
    <x v="0"/>
    <x v="1"/>
    <x v="0"/>
    <n v="165"/>
    <x v="2"/>
    <x v="0"/>
    <n v="1.6"/>
    <x v="0"/>
    <x v="2"/>
    <x v="0"/>
    <x v="2"/>
    <x v="0"/>
  </r>
  <r>
    <n v="69"/>
    <n v="59"/>
    <x v="0"/>
    <m/>
    <n v="1"/>
    <n v="3"/>
    <n v="170"/>
    <s v="151-180"/>
    <n v="326"/>
    <x v="4"/>
    <x v="1"/>
    <x v="0"/>
    <n v="140"/>
    <x v="0"/>
    <x v="1"/>
    <n v="3.4"/>
    <x v="2"/>
    <x v="0"/>
    <x v="0"/>
    <x v="2"/>
    <x v="1"/>
  </r>
  <r>
    <n v="70"/>
    <n v="46"/>
    <x v="2"/>
    <m/>
    <n v="1"/>
    <n v="2"/>
    <n v="150"/>
    <s v="121-150"/>
    <n v="231"/>
    <x v="0"/>
    <x v="1"/>
    <x v="1"/>
    <n v="147"/>
    <x v="0"/>
    <x v="0"/>
    <n v="3.6"/>
    <x v="2"/>
    <x v="1"/>
    <x v="0"/>
    <x v="1"/>
    <x v="1"/>
  </r>
  <r>
    <n v="71"/>
    <n v="65"/>
    <x v="0"/>
    <m/>
    <n v="0"/>
    <n v="2"/>
    <n v="155"/>
    <s v="151-180"/>
    <n v="269"/>
    <x v="1"/>
    <x v="1"/>
    <x v="1"/>
    <n v="148"/>
    <x v="0"/>
    <x v="0"/>
    <n v="0.8"/>
    <x v="1"/>
    <x v="2"/>
    <x v="0"/>
    <x v="1"/>
    <x v="0"/>
  </r>
  <r>
    <n v="72"/>
    <n v="67"/>
    <x v="1"/>
    <m/>
    <n v="1"/>
    <n v="3"/>
    <n v="125"/>
    <s v="121-150"/>
    <n v="254"/>
    <x v="1"/>
    <x v="0"/>
    <x v="1"/>
    <n v="163"/>
    <x v="2"/>
    <x v="0"/>
    <n v="0.2"/>
    <x v="1"/>
    <x v="1"/>
    <x v="2"/>
    <x v="2"/>
    <x v="1"/>
  </r>
  <r>
    <n v="73"/>
    <n v="62"/>
    <x v="0"/>
    <m/>
    <n v="1"/>
    <n v="3"/>
    <n v="120"/>
    <s v="94-120"/>
    <n v="267"/>
    <x v="1"/>
    <x v="1"/>
    <x v="1"/>
    <n v="99"/>
    <x v="3"/>
    <x v="1"/>
    <n v="1.8"/>
    <x v="0"/>
    <x v="1"/>
    <x v="2"/>
    <x v="2"/>
    <x v="1"/>
  </r>
  <r>
    <n v="74"/>
    <n v="65"/>
    <x v="0"/>
    <m/>
    <n v="1"/>
    <n v="3"/>
    <n v="110"/>
    <s v="94-120"/>
    <n v="248"/>
    <x v="0"/>
    <x v="1"/>
    <x v="0"/>
    <n v="158"/>
    <x v="0"/>
    <x v="0"/>
    <n v="0.6"/>
    <x v="1"/>
    <x v="2"/>
    <x v="2"/>
    <x v="0"/>
    <x v="1"/>
  </r>
  <r>
    <n v="75"/>
    <n v="44"/>
    <x v="2"/>
    <m/>
    <n v="1"/>
    <n v="3"/>
    <n v="110"/>
    <s v="94-120"/>
    <n v="197"/>
    <x v="3"/>
    <x v="1"/>
    <x v="0"/>
    <n v="177"/>
    <x v="2"/>
    <x v="0"/>
    <n v="0"/>
    <x v="1"/>
    <x v="2"/>
    <x v="3"/>
    <x v="1"/>
    <x v="1"/>
  </r>
  <r>
    <n v="76"/>
    <n v="65"/>
    <x v="0"/>
    <m/>
    <n v="0"/>
    <n v="2"/>
    <n v="160"/>
    <s v="151-180"/>
    <n v="360"/>
    <x v="2"/>
    <x v="1"/>
    <x v="0"/>
    <n v="151"/>
    <x v="0"/>
    <x v="0"/>
    <n v="0.8"/>
    <x v="1"/>
    <x v="2"/>
    <x v="0"/>
    <x v="1"/>
    <x v="0"/>
  </r>
  <r>
    <n v="77"/>
    <n v="60"/>
    <x v="0"/>
    <m/>
    <n v="1"/>
    <n v="3"/>
    <n v="125"/>
    <s v="121-150"/>
    <n v="258"/>
    <x v="1"/>
    <x v="1"/>
    <x v="0"/>
    <n v="141"/>
    <x v="0"/>
    <x v="1"/>
    <n v="2.8"/>
    <x v="0"/>
    <x v="1"/>
    <x v="3"/>
    <x v="2"/>
    <x v="1"/>
  </r>
  <r>
    <n v="78"/>
    <n v="51"/>
    <x v="3"/>
    <m/>
    <n v="0"/>
    <n v="2"/>
    <n v="140"/>
    <s v="121-150"/>
    <n v="308"/>
    <x v="4"/>
    <x v="1"/>
    <x v="0"/>
    <n v="142"/>
    <x v="0"/>
    <x v="0"/>
    <n v="1.5"/>
    <x v="1"/>
    <x v="2"/>
    <x v="3"/>
    <x v="1"/>
    <x v="0"/>
  </r>
  <r>
    <n v="79"/>
    <n v="48"/>
    <x v="3"/>
    <m/>
    <n v="1"/>
    <n v="1"/>
    <n v="130"/>
    <s v="121-150"/>
    <n v="245"/>
    <x v="0"/>
    <x v="1"/>
    <x v="0"/>
    <n v="180"/>
    <x v="2"/>
    <x v="0"/>
    <n v="0.2"/>
    <x v="1"/>
    <x v="1"/>
    <x v="0"/>
    <x v="1"/>
    <x v="0"/>
  </r>
  <r>
    <n v="80"/>
    <n v="58"/>
    <x v="0"/>
    <m/>
    <n v="1"/>
    <n v="3"/>
    <n v="150"/>
    <s v="121-150"/>
    <n v="270"/>
    <x v="1"/>
    <x v="1"/>
    <x v="0"/>
    <n v="111"/>
    <x v="1"/>
    <x v="1"/>
    <n v="0.8"/>
    <x v="1"/>
    <x v="2"/>
    <x v="0"/>
    <x v="2"/>
    <x v="1"/>
  </r>
  <r>
    <n v="81"/>
    <n v="45"/>
    <x v="2"/>
    <m/>
    <n v="1"/>
    <n v="3"/>
    <n v="104"/>
    <s v="94-120"/>
    <n v="208"/>
    <x v="0"/>
    <x v="1"/>
    <x v="0"/>
    <n v="148"/>
    <x v="0"/>
    <x v="1"/>
    <n v="3"/>
    <x v="2"/>
    <x v="1"/>
    <x v="0"/>
    <x v="1"/>
    <x v="0"/>
  </r>
  <r>
    <n v="82"/>
    <n v="53"/>
    <x v="3"/>
    <m/>
    <n v="0"/>
    <n v="3"/>
    <n v="130"/>
    <s v="121-150"/>
    <n v="264"/>
    <x v="1"/>
    <x v="1"/>
    <x v="0"/>
    <n v="143"/>
    <x v="0"/>
    <x v="0"/>
    <n v="0.4"/>
    <x v="1"/>
    <x v="1"/>
    <x v="0"/>
    <x v="1"/>
    <x v="0"/>
  </r>
  <r>
    <n v="83"/>
    <n v="39"/>
    <x v="2"/>
    <m/>
    <n v="1"/>
    <n v="2"/>
    <n v="140"/>
    <s v="121-150"/>
    <n v="321"/>
    <x v="4"/>
    <x v="1"/>
    <x v="0"/>
    <n v="182"/>
    <x v="2"/>
    <x v="0"/>
    <n v="0"/>
    <x v="1"/>
    <x v="2"/>
    <x v="0"/>
    <x v="1"/>
    <x v="0"/>
  </r>
  <r>
    <n v="84"/>
    <n v="68"/>
    <x v="1"/>
    <m/>
    <n v="1"/>
    <n v="2"/>
    <n v="180"/>
    <s v="180+"/>
    <n v="274"/>
    <x v="1"/>
    <x v="0"/>
    <x v="0"/>
    <n v="150"/>
    <x v="0"/>
    <x v="1"/>
    <n v="1.6"/>
    <x v="0"/>
    <x v="1"/>
    <x v="0"/>
    <x v="2"/>
    <x v="1"/>
  </r>
  <r>
    <n v="85"/>
    <n v="52"/>
    <x v="3"/>
    <m/>
    <n v="1"/>
    <n v="1"/>
    <n v="120"/>
    <s v="94-120"/>
    <n v="325"/>
    <x v="4"/>
    <x v="1"/>
    <x v="1"/>
    <n v="172"/>
    <x v="2"/>
    <x v="0"/>
    <n v="0.2"/>
    <x v="1"/>
    <x v="2"/>
    <x v="0"/>
    <x v="1"/>
    <x v="0"/>
  </r>
  <r>
    <n v="86"/>
    <n v="44"/>
    <x v="2"/>
    <m/>
    <n v="1"/>
    <n v="2"/>
    <n v="140"/>
    <s v="121-150"/>
    <n v="235"/>
    <x v="0"/>
    <x v="1"/>
    <x v="0"/>
    <n v="180"/>
    <x v="2"/>
    <x v="0"/>
    <n v="0"/>
    <x v="1"/>
    <x v="2"/>
    <x v="0"/>
    <x v="1"/>
    <x v="0"/>
  </r>
  <r>
    <n v="87"/>
    <n v="47"/>
    <x v="3"/>
    <m/>
    <n v="1"/>
    <n v="2"/>
    <n v="138"/>
    <s v="121-150"/>
    <n v="257"/>
    <x v="1"/>
    <x v="1"/>
    <x v="0"/>
    <n v="156"/>
    <x v="0"/>
    <x v="0"/>
    <n v="0"/>
    <x v="1"/>
    <x v="2"/>
    <x v="0"/>
    <x v="1"/>
    <x v="0"/>
  </r>
  <r>
    <n v="88"/>
    <n v="53"/>
    <x v="3"/>
    <m/>
    <n v="0"/>
    <n v="2"/>
    <n v="128"/>
    <s v="121-150"/>
    <n v="216"/>
    <x v="0"/>
    <x v="1"/>
    <x v="0"/>
    <n v="115"/>
    <x v="1"/>
    <x v="0"/>
    <n v="0"/>
    <x v="1"/>
    <x v="2"/>
    <x v="0"/>
    <x v="1"/>
    <x v="0"/>
  </r>
  <r>
    <n v="89"/>
    <n v="53"/>
    <x v="3"/>
    <m/>
    <n v="0"/>
    <n v="3"/>
    <n v="138"/>
    <s v="121-150"/>
    <n v="234"/>
    <x v="0"/>
    <x v="1"/>
    <x v="0"/>
    <n v="160"/>
    <x v="0"/>
    <x v="0"/>
    <n v="0"/>
    <x v="1"/>
    <x v="2"/>
    <x v="0"/>
    <x v="1"/>
    <x v="0"/>
  </r>
  <r>
    <n v="90"/>
    <n v="51"/>
    <x v="3"/>
    <m/>
    <n v="0"/>
    <n v="2"/>
    <n v="130"/>
    <s v="121-150"/>
    <n v="256"/>
    <x v="1"/>
    <x v="1"/>
    <x v="0"/>
    <n v="149"/>
    <x v="0"/>
    <x v="0"/>
    <n v="0.5"/>
    <x v="1"/>
    <x v="2"/>
    <x v="0"/>
    <x v="1"/>
    <x v="0"/>
  </r>
  <r>
    <n v="91"/>
    <n v="66"/>
    <x v="0"/>
    <m/>
    <n v="1"/>
    <n v="3"/>
    <n v="120"/>
    <s v="94-120"/>
    <n v="302"/>
    <x v="4"/>
    <x v="1"/>
    <x v="0"/>
    <n v="151"/>
    <x v="0"/>
    <x v="0"/>
    <n v="0.4"/>
    <x v="1"/>
    <x v="1"/>
    <x v="0"/>
    <x v="1"/>
    <x v="0"/>
  </r>
  <r>
    <n v="92"/>
    <n v="62"/>
    <x v="0"/>
    <m/>
    <n v="0"/>
    <n v="3"/>
    <n v="160"/>
    <s v="151-180"/>
    <n v="164"/>
    <x v="3"/>
    <x v="1"/>
    <x v="0"/>
    <n v="145"/>
    <x v="0"/>
    <x v="0"/>
    <n v="6.2"/>
    <x v="3"/>
    <x v="0"/>
    <x v="1"/>
    <x v="2"/>
    <x v="1"/>
  </r>
  <r>
    <n v="93"/>
    <n v="62"/>
    <x v="0"/>
    <m/>
    <n v="1"/>
    <n v="2"/>
    <n v="130"/>
    <s v="121-150"/>
    <n v="231"/>
    <x v="0"/>
    <x v="1"/>
    <x v="1"/>
    <n v="146"/>
    <x v="0"/>
    <x v="0"/>
    <n v="1.8"/>
    <x v="0"/>
    <x v="1"/>
    <x v="1"/>
    <x v="2"/>
    <x v="0"/>
  </r>
  <r>
    <n v="94"/>
    <n v="44"/>
    <x v="2"/>
    <m/>
    <n v="0"/>
    <n v="2"/>
    <n v="108"/>
    <s v="94-120"/>
    <n v="141"/>
    <x v="3"/>
    <x v="1"/>
    <x v="1"/>
    <n v="175"/>
    <x v="2"/>
    <x v="0"/>
    <n v="0.6"/>
    <x v="1"/>
    <x v="1"/>
    <x v="0"/>
    <x v="1"/>
    <x v="0"/>
  </r>
  <r>
    <n v="95"/>
    <n v="63"/>
    <x v="0"/>
    <m/>
    <n v="0"/>
    <n v="2"/>
    <n v="135"/>
    <s v="121-150"/>
    <n v="252"/>
    <x v="1"/>
    <x v="1"/>
    <x v="0"/>
    <n v="172"/>
    <x v="2"/>
    <x v="0"/>
    <n v="0"/>
    <x v="1"/>
    <x v="2"/>
    <x v="0"/>
    <x v="1"/>
    <x v="0"/>
  </r>
  <r>
    <n v="96"/>
    <n v="52"/>
    <x v="3"/>
    <m/>
    <n v="1"/>
    <n v="3"/>
    <n v="128"/>
    <s v="121-150"/>
    <n v="255"/>
    <x v="1"/>
    <x v="1"/>
    <x v="1"/>
    <n v="161"/>
    <x v="2"/>
    <x v="1"/>
    <n v="0"/>
    <x v="1"/>
    <x v="2"/>
    <x v="3"/>
    <x v="2"/>
    <x v="1"/>
  </r>
  <r>
    <n v="97"/>
    <n v="59"/>
    <x v="0"/>
    <m/>
    <n v="1"/>
    <n v="3"/>
    <n v="110"/>
    <s v="94-120"/>
    <n v="239"/>
    <x v="0"/>
    <x v="1"/>
    <x v="0"/>
    <n v="142"/>
    <x v="0"/>
    <x v="1"/>
    <n v="1.2"/>
    <x v="1"/>
    <x v="1"/>
    <x v="3"/>
    <x v="2"/>
    <x v="1"/>
  </r>
  <r>
    <n v="98"/>
    <n v="60"/>
    <x v="0"/>
    <m/>
    <n v="0"/>
    <n v="3"/>
    <n v="150"/>
    <s v="121-150"/>
    <n v="258"/>
    <x v="1"/>
    <x v="1"/>
    <x v="0"/>
    <n v="157"/>
    <x v="0"/>
    <x v="0"/>
    <n v="2.6"/>
    <x v="0"/>
    <x v="1"/>
    <x v="2"/>
    <x v="2"/>
    <x v="1"/>
  </r>
  <r>
    <n v="99"/>
    <n v="52"/>
    <x v="3"/>
    <m/>
    <n v="1"/>
    <n v="1"/>
    <n v="134"/>
    <s v="121-150"/>
    <n v="201"/>
    <x v="0"/>
    <x v="1"/>
    <x v="1"/>
    <n v="158"/>
    <x v="0"/>
    <x v="0"/>
    <n v="0.8"/>
    <x v="1"/>
    <x v="2"/>
    <x v="3"/>
    <x v="1"/>
    <x v="0"/>
  </r>
  <r>
    <n v="100"/>
    <n v="48"/>
    <x v="3"/>
    <m/>
    <n v="1"/>
    <n v="3"/>
    <n v="122"/>
    <s v="121-150"/>
    <n v="222"/>
    <x v="0"/>
    <x v="1"/>
    <x v="0"/>
    <n v="186"/>
    <x v="2"/>
    <x v="0"/>
    <n v="0"/>
    <x v="1"/>
    <x v="2"/>
    <x v="0"/>
    <x v="1"/>
    <x v="0"/>
  </r>
  <r>
    <n v="101"/>
    <n v="45"/>
    <x v="2"/>
    <m/>
    <n v="1"/>
    <n v="3"/>
    <n v="115"/>
    <s v="94-120"/>
    <n v="260"/>
    <x v="1"/>
    <x v="1"/>
    <x v="0"/>
    <n v="185"/>
    <x v="2"/>
    <x v="0"/>
    <n v="0"/>
    <x v="1"/>
    <x v="2"/>
    <x v="0"/>
    <x v="1"/>
    <x v="0"/>
  </r>
  <r>
    <n v="102"/>
    <n v="34"/>
    <x v="4"/>
    <m/>
    <n v="1"/>
    <n v="0"/>
    <n v="118"/>
    <s v="94-120"/>
    <n v="182"/>
    <x v="3"/>
    <x v="1"/>
    <x v="0"/>
    <n v="174"/>
    <x v="2"/>
    <x v="0"/>
    <n v="0"/>
    <x v="1"/>
    <x v="2"/>
    <x v="0"/>
    <x v="1"/>
    <x v="0"/>
  </r>
  <r>
    <n v="103"/>
    <n v="57"/>
    <x v="0"/>
    <m/>
    <n v="0"/>
    <n v="3"/>
    <n v="128"/>
    <s v="121-150"/>
    <n v="303"/>
    <x v="4"/>
    <x v="1"/>
    <x v="0"/>
    <n v="159"/>
    <x v="0"/>
    <x v="0"/>
    <n v="0"/>
    <x v="1"/>
    <x v="2"/>
    <x v="3"/>
    <x v="1"/>
    <x v="0"/>
  </r>
  <r>
    <n v="104"/>
    <n v="71"/>
    <x v="1"/>
    <m/>
    <n v="0"/>
    <n v="2"/>
    <n v="110"/>
    <s v="94-120"/>
    <n v="265"/>
    <x v="1"/>
    <x v="0"/>
    <x v="0"/>
    <n v="130"/>
    <x v="1"/>
    <x v="0"/>
    <n v="0"/>
    <x v="1"/>
    <x v="2"/>
    <x v="3"/>
    <x v="1"/>
    <x v="0"/>
  </r>
  <r>
    <n v="105"/>
    <n v="49"/>
    <x v="3"/>
    <m/>
    <n v="1"/>
    <n v="2"/>
    <n v="120"/>
    <s v="94-120"/>
    <n v="188"/>
    <x v="3"/>
    <x v="1"/>
    <x v="1"/>
    <n v="139"/>
    <x v="0"/>
    <x v="0"/>
    <n v="2"/>
    <x v="0"/>
    <x v="1"/>
    <x v="1"/>
    <x v="2"/>
    <x v="1"/>
  </r>
  <r>
    <n v="106"/>
    <n v="54"/>
    <x v="3"/>
    <m/>
    <n v="1"/>
    <n v="1"/>
    <n v="108"/>
    <s v="94-120"/>
    <n v="309"/>
    <x v="4"/>
    <x v="1"/>
    <x v="1"/>
    <n v="156"/>
    <x v="0"/>
    <x v="0"/>
    <n v="0"/>
    <x v="1"/>
    <x v="2"/>
    <x v="0"/>
    <x v="2"/>
    <x v="0"/>
  </r>
  <r>
    <n v="107"/>
    <n v="59"/>
    <x v="0"/>
    <m/>
    <n v="1"/>
    <n v="3"/>
    <n v="140"/>
    <s v="121-150"/>
    <n v="177"/>
    <x v="3"/>
    <x v="1"/>
    <x v="1"/>
    <n v="162"/>
    <x v="2"/>
    <x v="1"/>
    <n v="0"/>
    <x v="1"/>
    <x v="2"/>
    <x v="3"/>
    <x v="2"/>
    <x v="1"/>
  </r>
  <r>
    <n v="108"/>
    <n v="57"/>
    <x v="0"/>
    <m/>
    <n v="1"/>
    <n v="2"/>
    <n v="128"/>
    <s v="121-150"/>
    <n v="229"/>
    <x v="0"/>
    <x v="1"/>
    <x v="0"/>
    <n v="150"/>
    <x v="0"/>
    <x v="0"/>
    <n v="0.4"/>
    <x v="1"/>
    <x v="1"/>
    <x v="3"/>
    <x v="2"/>
    <x v="1"/>
  </r>
  <r>
    <n v="109"/>
    <n v="61"/>
    <x v="0"/>
    <m/>
    <n v="1"/>
    <n v="3"/>
    <n v="120"/>
    <s v="94-120"/>
    <n v="260"/>
    <x v="1"/>
    <x v="1"/>
    <x v="1"/>
    <n v="140"/>
    <x v="0"/>
    <x v="1"/>
    <n v="3.6"/>
    <x v="2"/>
    <x v="1"/>
    <x v="3"/>
    <x v="2"/>
    <x v="1"/>
  </r>
  <r>
    <n v="110"/>
    <n v="39"/>
    <x v="2"/>
    <m/>
    <n v="1"/>
    <n v="3"/>
    <n v="118"/>
    <s v="94-120"/>
    <n v="219"/>
    <x v="0"/>
    <x v="1"/>
    <x v="1"/>
    <n v="140"/>
    <x v="0"/>
    <x v="0"/>
    <n v="1.2"/>
    <x v="1"/>
    <x v="1"/>
    <x v="0"/>
    <x v="2"/>
    <x v="1"/>
  </r>
  <r>
    <n v="111"/>
    <n v="61"/>
    <x v="0"/>
    <m/>
    <n v="0"/>
    <n v="3"/>
    <n v="145"/>
    <s v="121-150"/>
    <n v="307"/>
    <x v="4"/>
    <x v="1"/>
    <x v="0"/>
    <n v="146"/>
    <x v="0"/>
    <x v="1"/>
    <n v="1"/>
    <x v="1"/>
    <x v="1"/>
    <x v="0"/>
    <x v="2"/>
    <x v="1"/>
  </r>
  <r>
    <n v="112"/>
    <n v="56"/>
    <x v="3"/>
    <m/>
    <n v="1"/>
    <n v="3"/>
    <n v="125"/>
    <s v="121-150"/>
    <n v="249"/>
    <x v="0"/>
    <x v="0"/>
    <x v="0"/>
    <n v="144"/>
    <x v="0"/>
    <x v="1"/>
    <n v="1.2"/>
    <x v="1"/>
    <x v="1"/>
    <x v="3"/>
    <x v="1"/>
    <x v="1"/>
  </r>
  <r>
    <n v="113"/>
    <n v="52"/>
    <x v="3"/>
    <m/>
    <n v="1"/>
    <n v="0"/>
    <n v="118"/>
    <s v="94-120"/>
    <n v="186"/>
    <x v="3"/>
    <x v="1"/>
    <x v="0"/>
    <n v="190"/>
    <x v="2"/>
    <x v="0"/>
    <n v="0"/>
    <x v="1"/>
    <x v="1"/>
    <x v="0"/>
    <x v="0"/>
    <x v="0"/>
  </r>
  <r>
    <n v="114"/>
    <n v="43"/>
    <x v="2"/>
    <m/>
    <n v="0"/>
    <n v="3"/>
    <n v="132"/>
    <s v="121-150"/>
    <n v="341"/>
    <x v="4"/>
    <x v="0"/>
    <x v="0"/>
    <n v="136"/>
    <x v="0"/>
    <x v="1"/>
    <n v="3"/>
    <x v="2"/>
    <x v="1"/>
    <x v="0"/>
    <x v="2"/>
    <x v="1"/>
  </r>
  <r>
    <n v="115"/>
    <n v="62"/>
    <x v="0"/>
    <m/>
    <n v="0"/>
    <n v="2"/>
    <n v="130"/>
    <s v="121-150"/>
    <n v="263"/>
    <x v="1"/>
    <x v="1"/>
    <x v="1"/>
    <n v="97"/>
    <x v="3"/>
    <x v="0"/>
    <n v="1.2"/>
    <x v="1"/>
    <x v="1"/>
    <x v="3"/>
    <x v="2"/>
    <x v="1"/>
  </r>
  <r>
    <n v="116"/>
    <n v="41"/>
    <x v="2"/>
    <m/>
    <n v="1"/>
    <n v="1"/>
    <n v="135"/>
    <s v="121-150"/>
    <n v="203"/>
    <x v="0"/>
    <x v="1"/>
    <x v="1"/>
    <n v="132"/>
    <x v="0"/>
    <x v="0"/>
    <n v="0"/>
    <x v="1"/>
    <x v="1"/>
    <x v="0"/>
    <x v="0"/>
    <x v="0"/>
  </r>
  <r>
    <n v="117"/>
    <n v="58"/>
    <x v="0"/>
    <m/>
    <n v="1"/>
    <n v="2"/>
    <n v="140"/>
    <s v="121-150"/>
    <n v="211"/>
    <x v="0"/>
    <x v="0"/>
    <x v="0"/>
    <n v="165"/>
    <x v="2"/>
    <x v="0"/>
    <n v="0"/>
    <x v="1"/>
    <x v="2"/>
    <x v="0"/>
    <x v="1"/>
    <x v="0"/>
  </r>
  <r>
    <n v="118"/>
    <n v="35"/>
    <x v="4"/>
    <m/>
    <n v="0"/>
    <n v="3"/>
    <n v="138"/>
    <s v="121-150"/>
    <n v="183"/>
    <x v="3"/>
    <x v="1"/>
    <x v="1"/>
    <n v="182"/>
    <x v="2"/>
    <x v="0"/>
    <n v="1.4"/>
    <x v="1"/>
    <x v="2"/>
    <x v="0"/>
    <x v="1"/>
    <x v="0"/>
  </r>
  <r>
    <n v="119"/>
    <n v="63"/>
    <x v="0"/>
    <m/>
    <n v="1"/>
    <n v="3"/>
    <n v="130"/>
    <s v="121-150"/>
    <n v="330"/>
    <x v="4"/>
    <x v="0"/>
    <x v="0"/>
    <n v="132"/>
    <x v="0"/>
    <x v="1"/>
    <n v="1.8"/>
    <x v="0"/>
    <x v="2"/>
    <x v="1"/>
    <x v="2"/>
    <x v="1"/>
  </r>
  <r>
    <n v="120"/>
    <n v="65"/>
    <x v="0"/>
    <m/>
    <n v="1"/>
    <n v="3"/>
    <n v="135"/>
    <s v="121-150"/>
    <n v="254"/>
    <x v="1"/>
    <x v="1"/>
    <x v="0"/>
    <n v="127"/>
    <x v="1"/>
    <x v="0"/>
    <n v="2.8"/>
    <x v="0"/>
    <x v="1"/>
    <x v="3"/>
    <x v="2"/>
    <x v="1"/>
  </r>
  <r>
    <n v="121"/>
    <n v="48"/>
    <x v="3"/>
    <m/>
    <n v="1"/>
    <n v="3"/>
    <n v="130"/>
    <s v="121-150"/>
    <n v="256"/>
    <x v="1"/>
    <x v="0"/>
    <x v="0"/>
    <n v="150"/>
    <x v="0"/>
    <x v="1"/>
    <n v="0"/>
    <x v="1"/>
    <x v="2"/>
    <x v="2"/>
    <x v="2"/>
    <x v="1"/>
  </r>
  <r>
    <n v="122"/>
    <n v="63"/>
    <x v="0"/>
    <m/>
    <n v="0"/>
    <n v="3"/>
    <n v="150"/>
    <s v="121-150"/>
    <n v="407"/>
    <x v="2"/>
    <x v="1"/>
    <x v="0"/>
    <n v="154"/>
    <x v="0"/>
    <x v="0"/>
    <n v="4"/>
    <x v="2"/>
    <x v="1"/>
    <x v="1"/>
    <x v="2"/>
    <x v="1"/>
  </r>
  <r>
    <n v="123"/>
    <n v="51"/>
    <x v="3"/>
    <m/>
    <n v="1"/>
    <n v="2"/>
    <n v="100"/>
    <s v="94-120"/>
    <n v="222"/>
    <x v="0"/>
    <x v="1"/>
    <x v="1"/>
    <n v="143"/>
    <x v="0"/>
    <x v="1"/>
    <n v="1.2"/>
    <x v="1"/>
    <x v="1"/>
    <x v="0"/>
    <x v="1"/>
    <x v="0"/>
  </r>
  <r>
    <n v="124"/>
    <n v="55"/>
    <x v="3"/>
    <m/>
    <n v="1"/>
    <n v="3"/>
    <n v="140"/>
    <s v="121-150"/>
    <n v="217"/>
    <x v="0"/>
    <x v="1"/>
    <x v="1"/>
    <n v="111"/>
    <x v="1"/>
    <x v="1"/>
    <n v="5.6"/>
    <x v="3"/>
    <x v="0"/>
    <x v="0"/>
    <x v="2"/>
    <x v="1"/>
  </r>
  <r>
    <n v="125"/>
    <n v="65"/>
    <x v="0"/>
    <m/>
    <n v="1"/>
    <n v="0"/>
    <n v="138"/>
    <s v="121-150"/>
    <n v="282"/>
    <x v="1"/>
    <x v="0"/>
    <x v="0"/>
    <n v="174"/>
    <x v="2"/>
    <x v="0"/>
    <n v="1.4"/>
    <x v="1"/>
    <x v="1"/>
    <x v="3"/>
    <x v="1"/>
    <x v="1"/>
  </r>
  <r>
    <n v="126"/>
    <n v="45"/>
    <x v="2"/>
    <m/>
    <n v="0"/>
    <n v="1"/>
    <n v="130"/>
    <s v="121-150"/>
    <n v="234"/>
    <x v="0"/>
    <x v="1"/>
    <x v="0"/>
    <n v="175"/>
    <x v="2"/>
    <x v="0"/>
    <n v="0.6"/>
    <x v="1"/>
    <x v="1"/>
    <x v="0"/>
    <x v="1"/>
    <x v="0"/>
  </r>
  <r>
    <n v="127"/>
    <n v="56"/>
    <x v="3"/>
    <m/>
    <n v="0"/>
    <n v="3"/>
    <n v="200"/>
    <s v="180+"/>
    <n v="288"/>
    <x v="1"/>
    <x v="0"/>
    <x v="0"/>
    <n v="133"/>
    <x v="0"/>
    <x v="1"/>
    <n v="4"/>
    <x v="2"/>
    <x v="0"/>
    <x v="2"/>
    <x v="2"/>
    <x v="1"/>
  </r>
  <r>
    <n v="128"/>
    <n v="54"/>
    <x v="3"/>
    <m/>
    <n v="1"/>
    <n v="3"/>
    <n v="110"/>
    <s v="94-120"/>
    <n v="239"/>
    <x v="0"/>
    <x v="1"/>
    <x v="1"/>
    <n v="126"/>
    <x v="1"/>
    <x v="1"/>
    <n v="2.8"/>
    <x v="0"/>
    <x v="1"/>
    <x v="3"/>
    <x v="2"/>
    <x v="1"/>
  </r>
  <r>
    <n v="129"/>
    <n v="44"/>
    <x v="2"/>
    <m/>
    <n v="1"/>
    <n v="1"/>
    <n v="120"/>
    <s v="94-120"/>
    <n v="220"/>
    <x v="0"/>
    <x v="1"/>
    <x v="1"/>
    <n v="170"/>
    <x v="2"/>
    <x v="0"/>
    <n v="0"/>
    <x v="1"/>
    <x v="2"/>
    <x v="0"/>
    <x v="1"/>
    <x v="0"/>
  </r>
  <r>
    <n v="130"/>
    <n v="62"/>
    <x v="0"/>
    <m/>
    <n v="0"/>
    <n v="3"/>
    <n v="124"/>
    <s v="121-150"/>
    <n v="209"/>
    <x v="0"/>
    <x v="1"/>
    <x v="1"/>
    <n v="163"/>
    <x v="2"/>
    <x v="0"/>
    <n v="0"/>
    <x v="1"/>
    <x v="2"/>
    <x v="0"/>
    <x v="1"/>
    <x v="0"/>
  </r>
  <r>
    <n v="131"/>
    <n v="54"/>
    <x v="3"/>
    <m/>
    <n v="1"/>
    <n v="2"/>
    <n v="120"/>
    <s v="94-120"/>
    <n v="258"/>
    <x v="1"/>
    <x v="1"/>
    <x v="0"/>
    <n v="147"/>
    <x v="0"/>
    <x v="0"/>
    <n v="0.4"/>
    <x v="1"/>
    <x v="1"/>
    <x v="0"/>
    <x v="2"/>
    <x v="0"/>
  </r>
  <r>
    <n v="132"/>
    <n v="51"/>
    <x v="3"/>
    <m/>
    <n v="1"/>
    <n v="2"/>
    <n v="94"/>
    <s v="94-120"/>
    <n v="227"/>
    <x v="0"/>
    <x v="1"/>
    <x v="1"/>
    <n v="154"/>
    <x v="0"/>
    <x v="1"/>
    <n v="0"/>
    <x v="1"/>
    <x v="2"/>
    <x v="3"/>
    <x v="2"/>
    <x v="0"/>
  </r>
  <r>
    <n v="133"/>
    <n v="29"/>
    <x v="4"/>
    <m/>
    <n v="1"/>
    <n v="1"/>
    <n v="130"/>
    <s v="121-150"/>
    <n v="204"/>
    <x v="0"/>
    <x v="1"/>
    <x v="0"/>
    <n v="202"/>
    <x v="4"/>
    <x v="0"/>
    <n v="0"/>
    <x v="1"/>
    <x v="2"/>
    <x v="0"/>
    <x v="1"/>
    <x v="0"/>
  </r>
  <r>
    <n v="134"/>
    <n v="51"/>
    <x v="3"/>
    <m/>
    <n v="1"/>
    <n v="3"/>
    <n v="140"/>
    <s v="121-150"/>
    <n v="261"/>
    <x v="1"/>
    <x v="1"/>
    <x v="0"/>
    <n v="186"/>
    <x v="2"/>
    <x v="1"/>
    <n v="0"/>
    <x v="1"/>
    <x v="2"/>
    <x v="0"/>
    <x v="1"/>
    <x v="0"/>
  </r>
  <r>
    <n v="135"/>
    <n v="43"/>
    <x v="2"/>
    <m/>
    <n v="0"/>
    <n v="2"/>
    <n v="122"/>
    <s v="121-150"/>
    <n v="213"/>
    <x v="0"/>
    <x v="1"/>
    <x v="1"/>
    <n v="165"/>
    <x v="2"/>
    <x v="0"/>
    <n v="0.2"/>
    <x v="1"/>
    <x v="1"/>
    <x v="0"/>
    <x v="1"/>
    <x v="0"/>
  </r>
  <r>
    <n v="136"/>
    <n v="55"/>
    <x v="3"/>
    <m/>
    <n v="0"/>
    <n v="1"/>
    <n v="135"/>
    <s v="121-150"/>
    <n v="250"/>
    <x v="0"/>
    <x v="1"/>
    <x v="0"/>
    <n v="161"/>
    <x v="2"/>
    <x v="0"/>
    <n v="1.4"/>
    <x v="1"/>
    <x v="1"/>
    <x v="0"/>
    <x v="1"/>
    <x v="0"/>
  </r>
  <r>
    <n v="137"/>
    <n v="70"/>
    <x v="1"/>
    <m/>
    <n v="1"/>
    <n v="3"/>
    <n v="145"/>
    <s v="121-150"/>
    <n v="174"/>
    <x v="3"/>
    <x v="1"/>
    <x v="1"/>
    <n v="125"/>
    <x v="1"/>
    <x v="1"/>
    <n v="2.6"/>
    <x v="0"/>
    <x v="0"/>
    <x v="0"/>
    <x v="2"/>
    <x v="1"/>
  </r>
  <r>
    <n v="138"/>
    <n v="62"/>
    <x v="0"/>
    <m/>
    <n v="1"/>
    <n v="1"/>
    <n v="120"/>
    <s v="94-120"/>
    <n v="281"/>
    <x v="1"/>
    <x v="1"/>
    <x v="0"/>
    <n v="103"/>
    <x v="1"/>
    <x v="0"/>
    <n v="1.4"/>
    <x v="1"/>
    <x v="1"/>
    <x v="3"/>
    <x v="2"/>
    <x v="1"/>
  </r>
  <r>
    <n v="139"/>
    <n v="35"/>
    <x v="4"/>
    <m/>
    <n v="1"/>
    <n v="3"/>
    <n v="120"/>
    <s v="94-120"/>
    <n v="198"/>
    <x v="3"/>
    <x v="1"/>
    <x v="1"/>
    <n v="130"/>
    <x v="1"/>
    <x v="1"/>
    <n v="1.6"/>
    <x v="0"/>
    <x v="1"/>
    <x v="0"/>
    <x v="2"/>
    <x v="1"/>
  </r>
  <r>
    <n v="140"/>
    <n v="51"/>
    <x v="3"/>
    <m/>
    <n v="1"/>
    <n v="2"/>
    <n v="125"/>
    <s v="121-150"/>
    <n v="245"/>
    <x v="0"/>
    <x v="0"/>
    <x v="0"/>
    <n v="166"/>
    <x v="2"/>
    <x v="0"/>
    <n v="2.4"/>
    <x v="0"/>
    <x v="1"/>
    <x v="0"/>
    <x v="1"/>
    <x v="0"/>
  </r>
  <r>
    <n v="141"/>
    <n v="59"/>
    <x v="0"/>
    <m/>
    <n v="1"/>
    <n v="1"/>
    <n v="140"/>
    <s v="121-150"/>
    <n v="221"/>
    <x v="0"/>
    <x v="1"/>
    <x v="1"/>
    <n v="164"/>
    <x v="2"/>
    <x v="1"/>
    <n v="0"/>
    <x v="1"/>
    <x v="2"/>
    <x v="0"/>
    <x v="1"/>
    <x v="0"/>
  </r>
  <r>
    <n v="142"/>
    <n v="59"/>
    <x v="0"/>
    <m/>
    <n v="1"/>
    <n v="0"/>
    <n v="170"/>
    <s v="151-180"/>
    <n v="288"/>
    <x v="1"/>
    <x v="1"/>
    <x v="0"/>
    <n v="159"/>
    <x v="0"/>
    <x v="0"/>
    <n v="0.2"/>
    <x v="1"/>
    <x v="1"/>
    <x v="0"/>
    <x v="2"/>
    <x v="1"/>
  </r>
  <r>
    <n v="143"/>
    <n v="52"/>
    <x v="3"/>
    <m/>
    <n v="1"/>
    <n v="1"/>
    <n v="128"/>
    <s v="121-150"/>
    <n v="205"/>
    <x v="0"/>
    <x v="0"/>
    <x v="1"/>
    <n v="184"/>
    <x v="2"/>
    <x v="0"/>
    <n v="0"/>
    <x v="1"/>
    <x v="2"/>
    <x v="0"/>
    <x v="1"/>
    <x v="0"/>
  </r>
  <r>
    <n v="144"/>
    <n v="64"/>
    <x v="0"/>
    <m/>
    <n v="1"/>
    <n v="2"/>
    <n v="125"/>
    <s v="121-150"/>
    <n v="309"/>
    <x v="4"/>
    <x v="1"/>
    <x v="1"/>
    <n v="131"/>
    <x v="0"/>
    <x v="1"/>
    <n v="1.8"/>
    <x v="0"/>
    <x v="1"/>
    <x v="0"/>
    <x v="2"/>
    <x v="1"/>
  </r>
  <r>
    <n v="145"/>
    <n v="58"/>
    <x v="0"/>
    <m/>
    <n v="1"/>
    <n v="2"/>
    <n v="105"/>
    <s v="94-120"/>
    <n v="240"/>
    <x v="0"/>
    <x v="1"/>
    <x v="0"/>
    <n v="154"/>
    <x v="0"/>
    <x v="1"/>
    <n v="0.6"/>
    <x v="1"/>
    <x v="1"/>
    <x v="0"/>
    <x v="2"/>
    <x v="0"/>
  </r>
  <r>
    <n v="146"/>
    <n v="47"/>
    <x v="3"/>
    <m/>
    <n v="1"/>
    <n v="2"/>
    <n v="108"/>
    <s v="94-120"/>
    <n v="243"/>
    <x v="0"/>
    <x v="1"/>
    <x v="1"/>
    <n v="152"/>
    <x v="0"/>
    <x v="0"/>
    <n v="0"/>
    <x v="1"/>
    <x v="2"/>
    <x v="0"/>
    <x v="1"/>
    <x v="1"/>
  </r>
  <r>
    <n v="147"/>
    <n v="57"/>
    <x v="0"/>
    <m/>
    <n v="1"/>
    <n v="3"/>
    <n v="165"/>
    <s v="151-180"/>
    <n v="289"/>
    <x v="1"/>
    <x v="0"/>
    <x v="0"/>
    <n v="124"/>
    <x v="1"/>
    <x v="0"/>
    <n v="1"/>
    <x v="1"/>
    <x v="1"/>
    <x v="1"/>
    <x v="2"/>
    <x v="1"/>
  </r>
  <r>
    <n v="148"/>
    <n v="41"/>
    <x v="2"/>
    <m/>
    <n v="1"/>
    <n v="2"/>
    <n v="112"/>
    <s v="94-120"/>
    <n v="250"/>
    <x v="0"/>
    <x v="1"/>
    <x v="1"/>
    <n v="179"/>
    <x v="2"/>
    <x v="0"/>
    <n v="0"/>
    <x v="1"/>
    <x v="2"/>
    <x v="0"/>
    <x v="1"/>
    <x v="0"/>
  </r>
  <r>
    <n v="149"/>
    <n v="45"/>
    <x v="2"/>
    <m/>
    <n v="1"/>
    <n v="1"/>
    <n v="128"/>
    <s v="121-150"/>
    <n v="308"/>
    <x v="4"/>
    <x v="1"/>
    <x v="0"/>
    <n v="170"/>
    <x v="2"/>
    <x v="0"/>
    <n v="0"/>
    <x v="1"/>
    <x v="2"/>
    <x v="0"/>
    <x v="1"/>
    <x v="0"/>
  </r>
  <r>
    <n v="150"/>
    <n v="60"/>
    <x v="0"/>
    <m/>
    <n v="0"/>
    <n v="2"/>
    <n v="102"/>
    <s v="94-120"/>
    <n v="318"/>
    <x v="4"/>
    <x v="1"/>
    <x v="1"/>
    <n v="160"/>
    <x v="0"/>
    <x v="0"/>
    <n v="0"/>
    <x v="1"/>
    <x v="2"/>
    <x v="3"/>
    <x v="1"/>
    <x v="0"/>
  </r>
  <r>
    <n v="151"/>
    <n v="52"/>
    <x v="3"/>
    <m/>
    <n v="1"/>
    <n v="0"/>
    <n v="152"/>
    <s v="151-180"/>
    <n v="298"/>
    <x v="1"/>
    <x v="0"/>
    <x v="1"/>
    <n v="178"/>
    <x v="2"/>
    <x v="0"/>
    <n v="1.2"/>
    <x v="1"/>
    <x v="1"/>
    <x v="0"/>
    <x v="2"/>
    <x v="0"/>
  </r>
  <r>
    <n v="152"/>
    <n v="42"/>
    <x v="2"/>
    <m/>
    <n v="0"/>
    <n v="3"/>
    <n v="102"/>
    <s v="94-120"/>
    <n v="265"/>
    <x v="1"/>
    <x v="1"/>
    <x v="0"/>
    <n v="122"/>
    <x v="1"/>
    <x v="0"/>
    <n v="0.6"/>
    <x v="1"/>
    <x v="1"/>
    <x v="0"/>
    <x v="1"/>
    <x v="0"/>
  </r>
  <r>
    <n v="153"/>
    <n v="67"/>
    <x v="1"/>
    <m/>
    <n v="0"/>
    <n v="2"/>
    <n v="115"/>
    <s v="94-120"/>
    <n v="564"/>
    <x v="2"/>
    <x v="1"/>
    <x v="0"/>
    <n v="160"/>
    <x v="0"/>
    <x v="0"/>
    <n v="1.6"/>
    <x v="0"/>
    <x v="1"/>
    <x v="0"/>
    <x v="2"/>
    <x v="0"/>
  </r>
  <r>
    <n v="154"/>
    <n v="55"/>
    <x v="3"/>
    <m/>
    <n v="1"/>
    <n v="3"/>
    <n v="160"/>
    <s v="151-180"/>
    <n v="289"/>
    <x v="1"/>
    <x v="1"/>
    <x v="0"/>
    <n v="145"/>
    <x v="0"/>
    <x v="1"/>
    <n v="0.8"/>
    <x v="1"/>
    <x v="1"/>
    <x v="3"/>
    <x v="2"/>
    <x v="1"/>
  </r>
  <r>
    <n v="155"/>
    <n v="64"/>
    <x v="0"/>
    <m/>
    <n v="1"/>
    <n v="3"/>
    <n v="120"/>
    <s v="94-120"/>
    <n v="246"/>
    <x v="0"/>
    <x v="1"/>
    <x v="0"/>
    <n v="96"/>
    <x v="3"/>
    <x v="1"/>
    <n v="2.2000000000000002"/>
    <x v="0"/>
    <x v="0"/>
    <x v="3"/>
    <x v="1"/>
    <x v="1"/>
  </r>
  <r>
    <n v="156"/>
    <n v="70"/>
    <x v="1"/>
    <m/>
    <n v="1"/>
    <n v="3"/>
    <n v="130"/>
    <s v="121-150"/>
    <n v="322"/>
    <x v="4"/>
    <x v="1"/>
    <x v="0"/>
    <n v="109"/>
    <x v="1"/>
    <x v="0"/>
    <n v="2.4"/>
    <x v="0"/>
    <x v="1"/>
    <x v="1"/>
    <x v="1"/>
    <x v="1"/>
  </r>
  <r>
    <n v="157"/>
    <n v="51"/>
    <x v="3"/>
    <m/>
    <n v="1"/>
    <n v="3"/>
    <n v="140"/>
    <s v="121-150"/>
    <n v="299"/>
    <x v="1"/>
    <x v="1"/>
    <x v="1"/>
    <n v="173"/>
    <x v="2"/>
    <x v="1"/>
    <n v="1.6"/>
    <x v="0"/>
    <x v="2"/>
    <x v="0"/>
    <x v="2"/>
    <x v="1"/>
  </r>
  <r>
    <n v="158"/>
    <n v="58"/>
    <x v="0"/>
    <m/>
    <n v="1"/>
    <n v="3"/>
    <n v="125"/>
    <s v="121-150"/>
    <n v="300"/>
    <x v="1"/>
    <x v="1"/>
    <x v="0"/>
    <n v="171"/>
    <x v="2"/>
    <x v="0"/>
    <n v="0"/>
    <x v="1"/>
    <x v="2"/>
    <x v="2"/>
    <x v="2"/>
    <x v="1"/>
  </r>
  <r>
    <n v="159"/>
    <n v="60"/>
    <x v="0"/>
    <m/>
    <n v="1"/>
    <n v="3"/>
    <n v="140"/>
    <s v="121-150"/>
    <n v="293"/>
    <x v="1"/>
    <x v="1"/>
    <x v="0"/>
    <n v="170"/>
    <x v="2"/>
    <x v="0"/>
    <n v="1.2"/>
    <x v="1"/>
    <x v="1"/>
    <x v="2"/>
    <x v="2"/>
    <x v="1"/>
  </r>
  <r>
    <n v="160"/>
    <n v="68"/>
    <x v="1"/>
    <m/>
    <n v="1"/>
    <n v="2"/>
    <n v="118"/>
    <s v="94-120"/>
    <n v="277"/>
    <x v="1"/>
    <x v="1"/>
    <x v="1"/>
    <n v="151"/>
    <x v="0"/>
    <x v="0"/>
    <n v="1"/>
    <x v="1"/>
    <x v="2"/>
    <x v="3"/>
    <x v="2"/>
    <x v="0"/>
  </r>
  <r>
    <n v="161"/>
    <n v="46"/>
    <x v="2"/>
    <m/>
    <n v="1"/>
    <n v="1"/>
    <n v="101"/>
    <s v="94-120"/>
    <n v="197"/>
    <x v="3"/>
    <x v="0"/>
    <x v="1"/>
    <n v="156"/>
    <x v="0"/>
    <x v="0"/>
    <n v="0"/>
    <x v="1"/>
    <x v="2"/>
    <x v="0"/>
    <x v="2"/>
    <x v="0"/>
  </r>
  <r>
    <n v="162"/>
    <n v="77"/>
    <x v="1"/>
    <m/>
    <n v="1"/>
    <n v="3"/>
    <n v="125"/>
    <s v="121-150"/>
    <n v="304"/>
    <x v="4"/>
    <x v="1"/>
    <x v="0"/>
    <n v="162"/>
    <x v="2"/>
    <x v="1"/>
    <n v="0"/>
    <x v="1"/>
    <x v="2"/>
    <x v="1"/>
    <x v="1"/>
    <x v="1"/>
  </r>
  <r>
    <n v="163"/>
    <n v="54"/>
    <x v="3"/>
    <m/>
    <n v="0"/>
    <n v="2"/>
    <n v="110"/>
    <s v="94-120"/>
    <n v="214"/>
    <x v="0"/>
    <x v="1"/>
    <x v="1"/>
    <n v="158"/>
    <x v="0"/>
    <x v="0"/>
    <n v="1.6"/>
    <x v="0"/>
    <x v="1"/>
    <x v="0"/>
    <x v="1"/>
    <x v="0"/>
  </r>
  <r>
    <n v="164"/>
    <n v="58"/>
    <x v="0"/>
    <m/>
    <n v="0"/>
    <n v="3"/>
    <n v="100"/>
    <s v="94-120"/>
    <n v="248"/>
    <x v="0"/>
    <x v="1"/>
    <x v="0"/>
    <n v="122"/>
    <x v="1"/>
    <x v="0"/>
    <n v="1"/>
    <x v="1"/>
    <x v="1"/>
    <x v="0"/>
    <x v="1"/>
    <x v="0"/>
  </r>
  <r>
    <n v="165"/>
    <n v="48"/>
    <x v="3"/>
    <m/>
    <n v="1"/>
    <n v="2"/>
    <n v="124"/>
    <s v="121-150"/>
    <n v="255"/>
    <x v="1"/>
    <x v="0"/>
    <x v="1"/>
    <n v="175"/>
    <x v="2"/>
    <x v="0"/>
    <n v="0"/>
    <x v="1"/>
    <x v="2"/>
    <x v="2"/>
    <x v="1"/>
    <x v="0"/>
  </r>
  <r>
    <n v="166"/>
    <n v="57"/>
    <x v="0"/>
    <m/>
    <n v="1"/>
    <n v="3"/>
    <n v="132"/>
    <s v="121-150"/>
    <n v="207"/>
    <x v="0"/>
    <x v="1"/>
    <x v="1"/>
    <n v="168"/>
    <x v="2"/>
    <x v="1"/>
    <n v="0"/>
    <x v="1"/>
    <x v="2"/>
    <x v="0"/>
    <x v="2"/>
    <x v="0"/>
  </r>
  <r>
    <n v="167"/>
    <n v="52"/>
    <x v="3"/>
    <m/>
    <n v="1"/>
    <n v="2"/>
    <n v="138"/>
    <s v="121-150"/>
    <n v="223"/>
    <x v="0"/>
    <x v="1"/>
    <x v="1"/>
    <n v="169"/>
    <x v="2"/>
    <x v="0"/>
    <n v="0"/>
    <x v="1"/>
    <x v="2"/>
    <x v="0"/>
    <x v="1"/>
    <x v="0"/>
  </r>
  <r>
    <n v="168"/>
    <n v="54"/>
    <x v="3"/>
    <m/>
    <n v="0"/>
    <n v="1"/>
    <n v="132"/>
    <s v="121-150"/>
    <n v="288"/>
    <x v="1"/>
    <x v="0"/>
    <x v="0"/>
    <n v="159"/>
    <x v="0"/>
    <x v="1"/>
    <n v="0"/>
    <x v="1"/>
    <x v="2"/>
    <x v="3"/>
    <x v="1"/>
    <x v="0"/>
  </r>
  <r>
    <n v="169"/>
    <n v="35"/>
    <x v="4"/>
    <m/>
    <n v="1"/>
    <n v="3"/>
    <n v="126"/>
    <s v="121-150"/>
    <n v="282"/>
    <x v="1"/>
    <x v="1"/>
    <x v="0"/>
    <n v="156"/>
    <x v="0"/>
    <x v="1"/>
    <n v="0"/>
    <x v="1"/>
    <x v="2"/>
    <x v="0"/>
    <x v="2"/>
    <x v="1"/>
  </r>
  <r>
    <n v="170"/>
    <n v="45"/>
    <x v="2"/>
    <m/>
    <n v="0"/>
    <n v="1"/>
    <n v="112"/>
    <s v="94-120"/>
    <n v="160"/>
    <x v="3"/>
    <x v="1"/>
    <x v="1"/>
    <n v="138"/>
    <x v="0"/>
    <x v="0"/>
    <n v="0"/>
    <x v="1"/>
    <x v="1"/>
    <x v="0"/>
    <x v="1"/>
    <x v="0"/>
  </r>
  <r>
    <n v="171"/>
    <n v="70"/>
    <x v="1"/>
    <m/>
    <n v="1"/>
    <n v="2"/>
    <n v="160"/>
    <s v="151-180"/>
    <n v="269"/>
    <x v="1"/>
    <x v="1"/>
    <x v="1"/>
    <n v="112"/>
    <x v="1"/>
    <x v="1"/>
    <n v="2.9"/>
    <x v="2"/>
    <x v="1"/>
    <x v="3"/>
    <x v="2"/>
    <x v="1"/>
  </r>
  <r>
    <n v="172"/>
    <n v="53"/>
    <x v="3"/>
    <m/>
    <n v="1"/>
    <n v="3"/>
    <n v="142"/>
    <s v="121-150"/>
    <n v="226"/>
    <x v="0"/>
    <x v="1"/>
    <x v="0"/>
    <n v="111"/>
    <x v="1"/>
    <x v="1"/>
    <n v="0"/>
    <x v="1"/>
    <x v="2"/>
    <x v="0"/>
    <x v="2"/>
    <x v="0"/>
  </r>
  <r>
    <n v="173"/>
    <n v="59"/>
    <x v="0"/>
    <m/>
    <n v="0"/>
    <n v="3"/>
    <n v="174"/>
    <s v="151-180"/>
    <n v="249"/>
    <x v="0"/>
    <x v="1"/>
    <x v="1"/>
    <n v="143"/>
    <x v="0"/>
    <x v="1"/>
    <n v="0"/>
    <x v="1"/>
    <x v="1"/>
    <x v="0"/>
    <x v="1"/>
    <x v="1"/>
  </r>
  <r>
    <n v="174"/>
    <n v="62"/>
    <x v="0"/>
    <m/>
    <n v="0"/>
    <n v="3"/>
    <n v="140"/>
    <s v="121-150"/>
    <n v="394"/>
    <x v="2"/>
    <x v="1"/>
    <x v="0"/>
    <n v="157"/>
    <x v="0"/>
    <x v="0"/>
    <n v="1.2"/>
    <x v="1"/>
    <x v="1"/>
    <x v="0"/>
    <x v="1"/>
    <x v="0"/>
  </r>
  <r>
    <n v="175"/>
    <n v="64"/>
    <x v="0"/>
    <m/>
    <n v="1"/>
    <n v="3"/>
    <n v="145"/>
    <s v="121-150"/>
    <n v="212"/>
    <x v="0"/>
    <x v="1"/>
    <x v="0"/>
    <n v="132"/>
    <x v="0"/>
    <x v="0"/>
    <n v="2"/>
    <x v="0"/>
    <x v="1"/>
    <x v="2"/>
    <x v="0"/>
    <x v="1"/>
  </r>
  <r>
    <n v="176"/>
    <n v="57"/>
    <x v="0"/>
    <m/>
    <n v="1"/>
    <n v="3"/>
    <n v="152"/>
    <s v="151-180"/>
    <n v="274"/>
    <x v="1"/>
    <x v="1"/>
    <x v="1"/>
    <n v="88"/>
    <x v="3"/>
    <x v="1"/>
    <n v="1.2"/>
    <x v="1"/>
    <x v="1"/>
    <x v="3"/>
    <x v="2"/>
    <x v="1"/>
  </r>
  <r>
    <n v="177"/>
    <n v="52"/>
    <x v="3"/>
    <m/>
    <n v="1"/>
    <n v="3"/>
    <n v="108"/>
    <s v="94-120"/>
    <n v="233"/>
    <x v="0"/>
    <x v="0"/>
    <x v="1"/>
    <n v="147"/>
    <x v="0"/>
    <x v="0"/>
    <n v="0.1"/>
    <x v="1"/>
    <x v="2"/>
    <x v="1"/>
    <x v="2"/>
    <x v="0"/>
  </r>
  <r>
    <n v="178"/>
    <n v="56"/>
    <x v="3"/>
    <m/>
    <n v="1"/>
    <n v="3"/>
    <n v="132"/>
    <s v="121-150"/>
    <n v="184"/>
    <x v="3"/>
    <x v="1"/>
    <x v="0"/>
    <n v="105"/>
    <x v="1"/>
    <x v="1"/>
    <n v="2.1"/>
    <x v="0"/>
    <x v="1"/>
    <x v="3"/>
    <x v="0"/>
    <x v="1"/>
  </r>
  <r>
    <n v="179"/>
    <n v="43"/>
    <x v="2"/>
    <m/>
    <n v="1"/>
    <n v="2"/>
    <n v="130"/>
    <s v="121-150"/>
    <n v="315"/>
    <x v="4"/>
    <x v="1"/>
    <x v="1"/>
    <n v="162"/>
    <x v="2"/>
    <x v="0"/>
    <n v="1.9"/>
    <x v="0"/>
    <x v="2"/>
    <x v="3"/>
    <x v="1"/>
    <x v="0"/>
  </r>
  <r>
    <n v="180"/>
    <n v="53"/>
    <x v="3"/>
    <m/>
    <n v="1"/>
    <n v="2"/>
    <n v="130"/>
    <s v="121-150"/>
    <n v="246"/>
    <x v="0"/>
    <x v="0"/>
    <x v="0"/>
    <n v="173"/>
    <x v="2"/>
    <x v="0"/>
    <n v="0"/>
    <x v="1"/>
    <x v="2"/>
    <x v="1"/>
    <x v="1"/>
    <x v="0"/>
  </r>
  <r>
    <n v="181"/>
    <n v="48"/>
    <x v="3"/>
    <m/>
    <n v="1"/>
    <n v="3"/>
    <n v="124"/>
    <s v="121-150"/>
    <n v="274"/>
    <x v="1"/>
    <x v="1"/>
    <x v="0"/>
    <n v="166"/>
    <x v="2"/>
    <x v="0"/>
    <n v="0.5"/>
    <x v="1"/>
    <x v="1"/>
    <x v="0"/>
    <x v="2"/>
    <x v="1"/>
  </r>
  <r>
    <n v="182"/>
    <n v="56"/>
    <x v="3"/>
    <m/>
    <n v="0"/>
    <n v="3"/>
    <n v="134"/>
    <s v="121-150"/>
    <n v="409"/>
    <x v="2"/>
    <x v="1"/>
    <x v="0"/>
    <n v="150"/>
    <x v="0"/>
    <x v="1"/>
    <n v="1.9"/>
    <x v="0"/>
    <x v="1"/>
    <x v="2"/>
    <x v="2"/>
    <x v="1"/>
  </r>
  <r>
    <n v="183"/>
    <n v="42"/>
    <x v="2"/>
    <m/>
    <n v="1"/>
    <n v="0"/>
    <n v="148"/>
    <s v="121-150"/>
    <n v="244"/>
    <x v="0"/>
    <x v="1"/>
    <x v="0"/>
    <n v="178"/>
    <x v="2"/>
    <x v="0"/>
    <n v="0.8"/>
    <x v="1"/>
    <x v="2"/>
    <x v="2"/>
    <x v="1"/>
    <x v="0"/>
  </r>
  <r>
    <n v="184"/>
    <n v="59"/>
    <x v="0"/>
    <m/>
    <n v="1"/>
    <n v="0"/>
    <n v="178"/>
    <s v="151-180"/>
    <n v="270"/>
    <x v="1"/>
    <x v="1"/>
    <x v="0"/>
    <n v="145"/>
    <x v="0"/>
    <x v="0"/>
    <n v="4.2"/>
    <x v="3"/>
    <x v="0"/>
    <x v="0"/>
    <x v="2"/>
    <x v="0"/>
  </r>
  <r>
    <n v="185"/>
    <n v="60"/>
    <x v="0"/>
    <m/>
    <n v="0"/>
    <n v="3"/>
    <n v="158"/>
    <s v="151-180"/>
    <n v="305"/>
    <x v="4"/>
    <x v="1"/>
    <x v="0"/>
    <n v="161"/>
    <x v="2"/>
    <x v="0"/>
    <n v="0"/>
    <x v="1"/>
    <x v="2"/>
    <x v="0"/>
    <x v="1"/>
    <x v="1"/>
  </r>
  <r>
    <n v="186"/>
    <n v="63"/>
    <x v="0"/>
    <m/>
    <n v="0"/>
    <n v="1"/>
    <n v="140"/>
    <s v="121-150"/>
    <n v="195"/>
    <x v="3"/>
    <x v="1"/>
    <x v="1"/>
    <n v="179"/>
    <x v="2"/>
    <x v="0"/>
    <n v="0"/>
    <x v="1"/>
    <x v="2"/>
    <x v="2"/>
    <x v="1"/>
    <x v="0"/>
  </r>
  <r>
    <n v="187"/>
    <n v="42"/>
    <x v="2"/>
    <m/>
    <n v="1"/>
    <n v="2"/>
    <n v="120"/>
    <s v="94-120"/>
    <n v="240"/>
    <x v="0"/>
    <x v="0"/>
    <x v="1"/>
    <n v="194"/>
    <x v="4"/>
    <x v="0"/>
    <n v="0.8"/>
    <x v="1"/>
    <x v="0"/>
    <x v="0"/>
    <x v="2"/>
    <x v="0"/>
  </r>
  <r>
    <n v="188"/>
    <n v="66"/>
    <x v="0"/>
    <m/>
    <n v="1"/>
    <n v="1"/>
    <n v="160"/>
    <s v="151-180"/>
    <n v="246"/>
    <x v="0"/>
    <x v="1"/>
    <x v="1"/>
    <n v="120"/>
    <x v="1"/>
    <x v="1"/>
    <n v="0"/>
    <x v="1"/>
    <x v="1"/>
    <x v="1"/>
    <x v="0"/>
    <x v="1"/>
  </r>
  <r>
    <n v="189"/>
    <n v="54"/>
    <x v="3"/>
    <m/>
    <n v="1"/>
    <n v="1"/>
    <n v="192"/>
    <s v="180+"/>
    <n v="283"/>
    <x v="1"/>
    <x v="1"/>
    <x v="0"/>
    <n v="195"/>
    <x v="4"/>
    <x v="0"/>
    <n v="0"/>
    <x v="1"/>
    <x v="2"/>
    <x v="3"/>
    <x v="2"/>
    <x v="1"/>
  </r>
  <r>
    <n v="190"/>
    <n v="69"/>
    <x v="1"/>
    <m/>
    <n v="1"/>
    <n v="2"/>
    <n v="140"/>
    <s v="121-150"/>
    <n v="254"/>
    <x v="1"/>
    <x v="1"/>
    <x v="0"/>
    <n v="146"/>
    <x v="0"/>
    <x v="0"/>
    <n v="2"/>
    <x v="0"/>
    <x v="1"/>
    <x v="1"/>
    <x v="2"/>
    <x v="1"/>
  </r>
  <r>
    <n v="191"/>
    <n v="50"/>
    <x v="3"/>
    <m/>
    <n v="1"/>
    <n v="2"/>
    <n v="129"/>
    <s v="121-150"/>
    <n v="196"/>
    <x v="3"/>
    <x v="1"/>
    <x v="1"/>
    <n v="163"/>
    <x v="2"/>
    <x v="0"/>
    <n v="0"/>
    <x v="1"/>
    <x v="2"/>
    <x v="0"/>
    <x v="1"/>
    <x v="0"/>
  </r>
  <r>
    <n v="192"/>
    <n v="51"/>
    <x v="3"/>
    <m/>
    <n v="1"/>
    <n v="3"/>
    <n v="140"/>
    <s v="121-150"/>
    <n v="298"/>
    <x v="1"/>
    <x v="1"/>
    <x v="1"/>
    <n v="122"/>
    <x v="1"/>
    <x v="1"/>
    <n v="4.2"/>
    <x v="3"/>
    <x v="1"/>
    <x v="1"/>
    <x v="2"/>
    <x v="1"/>
  </r>
  <r>
    <n v="193"/>
    <n v="43"/>
    <x v="2"/>
    <m/>
    <n v="1"/>
    <n v="3"/>
    <n v="132"/>
    <s v="121-150"/>
    <n v="247"/>
    <x v="0"/>
    <x v="0"/>
    <x v="0"/>
    <n v="143"/>
    <x v="0"/>
    <x v="1"/>
    <n v="0.1"/>
    <x v="1"/>
    <x v="1"/>
    <x v="0"/>
    <x v="2"/>
    <x v="1"/>
  </r>
  <r>
    <n v="194"/>
    <n v="62"/>
    <x v="0"/>
    <m/>
    <n v="0"/>
    <n v="3"/>
    <n v="138"/>
    <s v="121-150"/>
    <n v="294"/>
    <x v="1"/>
    <x v="0"/>
    <x v="1"/>
    <n v="106"/>
    <x v="1"/>
    <x v="0"/>
    <n v="1.9"/>
    <x v="0"/>
    <x v="1"/>
    <x v="1"/>
    <x v="1"/>
    <x v="1"/>
  </r>
  <r>
    <n v="195"/>
    <n v="68"/>
    <x v="1"/>
    <m/>
    <n v="0"/>
    <n v="2"/>
    <n v="120"/>
    <s v="94-120"/>
    <n v="211"/>
    <x v="0"/>
    <x v="1"/>
    <x v="0"/>
    <n v="115"/>
    <x v="1"/>
    <x v="0"/>
    <n v="1.5"/>
    <x v="1"/>
    <x v="1"/>
    <x v="0"/>
    <x v="1"/>
    <x v="0"/>
  </r>
  <r>
    <n v="196"/>
    <n v="67"/>
    <x v="1"/>
    <m/>
    <n v="1"/>
    <n v="3"/>
    <n v="100"/>
    <s v="94-120"/>
    <n v="299"/>
    <x v="1"/>
    <x v="1"/>
    <x v="0"/>
    <n v="125"/>
    <x v="1"/>
    <x v="1"/>
    <n v="0.9"/>
    <x v="1"/>
    <x v="1"/>
    <x v="2"/>
    <x v="1"/>
    <x v="1"/>
  </r>
  <r>
    <n v="197"/>
    <n v="69"/>
    <x v="1"/>
    <m/>
    <n v="1"/>
    <n v="0"/>
    <n v="160"/>
    <s v="151-180"/>
    <n v="234"/>
    <x v="0"/>
    <x v="0"/>
    <x v="0"/>
    <n v="131"/>
    <x v="0"/>
    <x v="0"/>
    <n v="0.1"/>
    <x v="1"/>
    <x v="1"/>
    <x v="3"/>
    <x v="1"/>
    <x v="0"/>
  </r>
  <r>
    <n v="198"/>
    <n v="45"/>
    <x v="2"/>
    <m/>
    <n v="0"/>
    <n v="3"/>
    <n v="138"/>
    <s v="121-150"/>
    <n v="236"/>
    <x v="0"/>
    <x v="1"/>
    <x v="0"/>
    <n v="152"/>
    <x v="0"/>
    <x v="1"/>
    <n v="0.2"/>
    <x v="1"/>
    <x v="1"/>
    <x v="0"/>
    <x v="1"/>
    <x v="0"/>
  </r>
  <r>
    <n v="199"/>
    <n v="50"/>
    <x v="3"/>
    <m/>
    <n v="0"/>
    <n v="1"/>
    <n v="120"/>
    <s v="94-120"/>
    <n v="244"/>
    <x v="0"/>
    <x v="1"/>
    <x v="1"/>
    <n v="162"/>
    <x v="2"/>
    <x v="0"/>
    <n v="1.1000000000000001"/>
    <x v="1"/>
    <x v="2"/>
    <x v="0"/>
    <x v="1"/>
    <x v="0"/>
  </r>
  <r>
    <n v="200"/>
    <n v="59"/>
    <x v="0"/>
    <m/>
    <n v="1"/>
    <n v="0"/>
    <n v="160"/>
    <s v="151-180"/>
    <n v="273"/>
    <x v="1"/>
    <x v="1"/>
    <x v="0"/>
    <n v="125"/>
    <x v="1"/>
    <x v="0"/>
    <n v="0"/>
    <x v="1"/>
    <x v="2"/>
    <x v="0"/>
    <x v="1"/>
    <x v="1"/>
  </r>
  <r>
    <n v="201"/>
    <n v="50"/>
    <x v="3"/>
    <m/>
    <n v="0"/>
    <n v="3"/>
    <n v="110"/>
    <s v="94-120"/>
    <n v="254"/>
    <x v="1"/>
    <x v="1"/>
    <x v="0"/>
    <n v="159"/>
    <x v="0"/>
    <x v="0"/>
    <n v="0"/>
    <x v="1"/>
    <x v="2"/>
    <x v="0"/>
    <x v="1"/>
    <x v="0"/>
  </r>
  <r>
    <n v="202"/>
    <n v="64"/>
    <x v="0"/>
    <m/>
    <n v="0"/>
    <n v="3"/>
    <n v="180"/>
    <s v="180+"/>
    <n v="325"/>
    <x v="4"/>
    <x v="1"/>
    <x v="1"/>
    <n v="154"/>
    <x v="0"/>
    <x v="1"/>
    <n v="0"/>
    <x v="1"/>
    <x v="2"/>
    <x v="0"/>
    <x v="1"/>
    <x v="0"/>
  </r>
  <r>
    <n v="203"/>
    <n v="57"/>
    <x v="0"/>
    <m/>
    <n v="1"/>
    <n v="2"/>
    <n v="150"/>
    <s v="121-150"/>
    <n v="126"/>
    <x v="3"/>
    <x v="0"/>
    <x v="1"/>
    <n v="173"/>
    <x v="2"/>
    <x v="0"/>
    <n v="0.2"/>
    <x v="1"/>
    <x v="2"/>
    <x v="3"/>
    <x v="2"/>
    <x v="0"/>
  </r>
  <r>
    <n v="204"/>
    <n v="64"/>
    <x v="0"/>
    <m/>
    <n v="0"/>
    <n v="2"/>
    <n v="140"/>
    <s v="121-150"/>
    <n v="313"/>
    <x v="4"/>
    <x v="1"/>
    <x v="1"/>
    <n v="133"/>
    <x v="0"/>
    <x v="0"/>
    <n v="0.2"/>
    <x v="1"/>
    <x v="2"/>
    <x v="0"/>
    <x v="2"/>
    <x v="0"/>
  </r>
  <r>
    <n v="205"/>
    <n v="43"/>
    <x v="2"/>
    <m/>
    <n v="1"/>
    <n v="3"/>
    <n v="110"/>
    <s v="94-120"/>
    <n v="211"/>
    <x v="0"/>
    <x v="1"/>
    <x v="1"/>
    <n v="161"/>
    <x v="2"/>
    <x v="0"/>
    <n v="0"/>
    <x v="1"/>
    <x v="2"/>
    <x v="0"/>
    <x v="2"/>
    <x v="0"/>
  </r>
  <r>
    <n v="206"/>
    <n v="45"/>
    <x v="2"/>
    <m/>
    <n v="1"/>
    <n v="3"/>
    <n v="142"/>
    <s v="121-150"/>
    <n v="309"/>
    <x v="4"/>
    <x v="1"/>
    <x v="0"/>
    <n v="147"/>
    <x v="0"/>
    <x v="1"/>
    <n v="0"/>
    <x v="1"/>
    <x v="1"/>
    <x v="1"/>
    <x v="2"/>
    <x v="1"/>
  </r>
  <r>
    <n v="207"/>
    <n v="58"/>
    <x v="0"/>
    <m/>
    <n v="1"/>
    <n v="3"/>
    <n v="128"/>
    <s v="121-150"/>
    <n v="259"/>
    <x v="1"/>
    <x v="1"/>
    <x v="0"/>
    <n v="130"/>
    <x v="1"/>
    <x v="1"/>
    <n v="3"/>
    <x v="2"/>
    <x v="1"/>
    <x v="2"/>
    <x v="2"/>
    <x v="1"/>
  </r>
  <r>
    <n v="208"/>
    <n v="50"/>
    <x v="3"/>
    <m/>
    <n v="1"/>
    <n v="3"/>
    <n v="144"/>
    <s v="121-150"/>
    <n v="200"/>
    <x v="3"/>
    <x v="1"/>
    <x v="0"/>
    <n v="126"/>
    <x v="1"/>
    <x v="1"/>
    <n v="0.9"/>
    <x v="1"/>
    <x v="1"/>
    <x v="0"/>
    <x v="2"/>
    <x v="1"/>
  </r>
  <r>
    <n v="209"/>
    <n v="55"/>
    <x v="3"/>
    <m/>
    <n v="1"/>
    <n v="1"/>
    <n v="130"/>
    <s v="121-150"/>
    <n v="262"/>
    <x v="1"/>
    <x v="1"/>
    <x v="1"/>
    <n v="155"/>
    <x v="0"/>
    <x v="0"/>
    <n v="0"/>
    <x v="1"/>
    <x v="2"/>
    <x v="0"/>
    <x v="1"/>
    <x v="0"/>
  </r>
  <r>
    <n v="210"/>
    <n v="62"/>
    <x v="0"/>
    <m/>
    <n v="0"/>
    <n v="3"/>
    <n v="150"/>
    <s v="121-150"/>
    <n v="244"/>
    <x v="0"/>
    <x v="1"/>
    <x v="1"/>
    <n v="154"/>
    <x v="0"/>
    <x v="1"/>
    <n v="1.4"/>
    <x v="1"/>
    <x v="1"/>
    <x v="0"/>
    <x v="1"/>
    <x v="1"/>
  </r>
  <r>
    <n v="211"/>
    <n v="37"/>
    <x v="2"/>
    <m/>
    <n v="0"/>
    <n v="2"/>
    <n v="120"/>
    <s v="94-120"/>
    <n v="215"/>
    <x v="0"/>
    <x v="1"/>
    <x v="1"/>
    <n v="170"/>
    <x v="2"/>
    <x v="0"/>
    <n v="0"/>
    <x v="1"/>
    <x v="2"/>
    <x v="0"/>
    <x v="1"/>
    <x v="0"/>
  </r>
  <r>
    <n v="212"/>
    <n v="38"/>
    <x v="2"/>
    <m/>
    <n v="1"/>
    <n v="0"/>
    <n v="120"/>
    <s v="94-120"/>
    <n v="231"/>
    <x v="0"/>
    <x v="1"/>
    <x v="1"/>
    <n v="182"/>
    <x v="2"/>
    <x v="1"/>
    <n v="3.8"/>
    <x v="2"/>
    <x v="1"/>
    <x v="0"/>
    <x v="2"/>
    <x v="1"/>
  </r>
  <r>
    <n v="213"/>
    <n v="41"/>
    <x v="2"/>
    <m/>
    <n v="1"/>
    <n v="2"/>
    <n v="130"/>
    <s v="121-150"/>
    <n v="214"/>
    <x v="0"/>
    <x v="1"/>
    <x v="0"/>
    <n v="168"/>
    <x v="2"/>
    <x v="0"/>
    <n v="2"/>
    <x v="0"/>
    <x v="1"/>
    <x v="0"/>
    <x v="1"/>
    <x v="0"/>
  </r>
  <r>
    <n v="214"/>
    <n v="66"/>
    <x v="0"/>
    <m/>
    <n v="0"/>
    <n v="3"/>
    <n v="178"/>
    <s v="151-180"/>
    <n v="228"/>
    <x v="0"/>
    <x v="0"/>
    <x v="1"/>
    <n v="165"/>
    <x v="2"/>
    <x v="1"/>
    <n v="1"/>
    <x v="1"/>
    <x v="1"/>
    <x v="2"/>
    <x v="2"/>
    <x v="1"/>
  </r>
  <r>
    <n v="215"/>
    <n v="52"/>
    <x v="3"/>
    <m/>
    <n v="1"/>
    <n v="3"/>
    <n v="112"/>
    <s v="94-120"/>
    <n v="230"/>
    <x v="0"/>
    <x v="1"/>
    <x v="1"/>
    <n v="160"/>
    <x v="0"/>
    <x v="0"/>
    <n v="0"/>
    <x v="1"/>
    <x v="2"/>
    <x v="3"/>
    <x v="1"/>
    <x v="1"/>
  </r>
  <r>
    <n v="216"/>
    <n v="56"/>
    <x v="3"/>
    <m/>
    <n v="1"/>
    <n v="0"/>
    <n v="120"/>
    <s v="94-120"/>
    <n v="193"/>
    <x v="3"/>
    <x v="1"/>
    <x v="0"/>
    <n v="162"/>
    <x v="2"/>
    <x v="0"/>
    <n v="1.9"/>
    <x v="0"/>
    <x v="1"/>
    <x v="0"/>
    <x v="2"/>
    <x v="0"/>
  </r>
  <r>
    <n v="217"/>
    <n v="46"/>
    <x v="2"/>
    <m/>
    <n v="0"/>
    <n v="1"/>
    <n v="105"/>
    <s v="94-120"/>
    <n v="204"/>
    <x v="0"/>
    <x v="1"/>
    <x v="1"/>
    <n v="172"/>
    <x v="2"/>
    <x v="0"/>
    <n v="0"/>
    <x v="1"/>
    <x v="2"/>
    <x v="0"/>
    <x v="1"/>
    <x v="0"/>
  </r>
  <r>
    <n v="218"/>
    <n v="46"/>
    <x v="2"/>
    <m/>
    <n v="0"/>
    <n v="3"/>
    <n v="138"/>
    <s v="121-150"/>
    <n v="243"/>
    <x v="0"/>
    <x v="1"/>
    <x v="0"/>
    <n v="152"/>
    <x v="0"/>
    <x v="1"/>
    <n v="0"/>
    <x v="1"/>
    <x v="1"/>
    <x v="0"/>
    <x v="1"/>
    <x v="0"/>
  </r>
  <r>
    <n v="219"/>
    <n v="64"/>
    <x v="0"/>
    <m/>
    <n v="0"/>
    <n v="3"/>
    <n v="130"/>
    <s v="121-150"/>
    <n v="303"/>
    <x v="4"/>
    <x v="1"/>
    <x v="1"/>
    <n v="122"/>
    <x v="1"/>
    <x v="0"/>
    <n v="2"/>
    <x v="0"/>
    <x v="1"/>
    <x v="2"/>
    <x v="1"/>
    <x v="0"/>
  </r>
  <r>
    <n v="220"/>
    <n v="59"/>
    <x v="0"/>
    <m/>
    <n v="1"/>
    <n v="3"/>
    <n v="138"/>
    <s v="121-150"/>
    <n v="271"/>
    <x v="1"/>
    <x v="1"/>
    <x v="0"/>
    <n v="182"/>
    <x v="2"/>
    <x v="0"/>
    <n v="0"/>
    <x v="1"/>
    <x v="2"/>
    <x v="0"/>
    <x v="1"/>
    <x v="0"/>
  </r>
  <r>
    <n v="221"/>
    <n v="41"/>
    <x v="2"/>
    <m/>
    <n v="0"/>
    <n v="2"/>
    <n v="112"/>
    <s v="94-120"/>
    <n v="268"/>
    <x v="1"/>
    <x v="1"/>
    <x v="0"/>
    <n v="172"/>
    <x v="2"/>
    <x v="1"/>
    <n v="0"/>
    <x v="1"/>
    <x v="2"/>
    <x v="0"/>
    <x v="1"/>
    <x v="0"/>
  </r>
  <r>
    <n v="222"/>
    <n v="54"/>
    <x v="3"/>
    <m/>
    <n v="0"/>
    <n v="2"/>
    <n v="108"/>
    <s v="94-120"/>
    <n v="267"/>
    <x v="1"/>
    <x v="1"/>
    <x v="0"/>
    <n v="167"/>
    <x v="2"/>
    <x v="0"/>
    <n v="0"/>
    <x v="1"/>
    <x v="2"/>
    <x v="0"/>
    <x v="1"/>
    <x v="0"/>
  </r>
  <r>
    <n v="223"/>
    <n v="39"/>
    <x v="2"/>
    <m/>
    <n v="0"/>
    <n v="2"/>
    <n v="94"/>
    <s v="94-120"/>
    <n v="199"/>
    <x v="3"/>
    <x v="1"/>
    <x v="1"/>
    <n v="179"/>
    <x v="2"/>
    <x v="0"/>
    <n v="0"/>
    <x v="1"/>
    <x v="2"/>
    <x v="0"/>
    <x v="1"/>
    <x v="0"/>
  </r>
  <r>
    <n v="224"/>
    <n v="53"/>
    <x v="3"/>
    <m/>
    <n v="1"/>
    <n v="3"/>
    <n v="123"/>
    <s v="121-150"/>
    <n v="282"/>
    <x v="1"/>
    <x v="1"/>
    <x v="1"/>
    <n v="95"/>
    <x v="3"/>
    <x v="1"/>
    <n v="2"/>
    <x v="0"/>
    <x v="1"/>
    <x v="2"/>
    <x v="2"/>
    <x v="1"/>
  </r>
  <r>
    <n v="225"/>
    <n v="63"/>
    <x v="0"/>
    <m/>
    <n v="0"/>
    <n v="3"/>
    <n v="108"/>
    <s v="94-120"/>
    <n v="269"/>
    <x v="1"/>
    <x v="1"/>
    <x v="1"/>
    <n v="169"/>
    <x v="2"/>
    <x v="1"/>
    <n v="1.8"/>
    <x v="0"/>
    <x v="1"/>
    <x v="2"/>
    <x v="1"/>
    <x v="1"/>
  </r>
  <r>
    <n v="226"/>
    <n v="34"/>
    <x v="4"/>
    <m/>
    <n v="0"/>
    <n v="1"/>
    <n v="118"/>
    <s v="94-120"/>
    <n v="210"/>
    <x v="0"/>
    <x v="1"/>
    <x v="1"/>
    <n v="192"/>
    <x v="4"/>
    <x v="0"/>
    <n v="0.7"/>
    <x v="1"/>
    <x v="2"/>
    <x v="0"/>
    <x v="1"/>
    <x v="0"/>
  </r>
  <r>
    <n v="227"/>
    <n v="47"/>
    <x v="3"/>
    <m/>
    <n v="1"/>
    <n v="3"/>
    <n v="112"/>
    <s v="94-120"/>
    <n v="204"/>
    <x v="0"/>
    <x v="1"/>
    <x v="1"/>
    <n v="143"/>
    <x v="0"/>
    <x v="0"/>
    <n v="0.1"/>
    <x v="1"/>
    <x v="2"/>
    <x v="0"/>
    <x v="1"/>
    <x v="0"/>
  </r>
  <r>
    <n v="228"/>
    <n v="67"/>
    <x v="1"/>
    <m/>
    <n v="0"/>
    <n v="2"/>
    <n v="152"/>
    <s v="151-180"/>
    <n v="277"/>
    <x v="1"/>
    <x v="1"/>
    <x v="1"/>
    <n v="172"/>
    <x v="2"/>
    <x v="0"/>
    <n v="0"/>
    <x v="1"/>
    <x v="2"/>
    <x v="3"/>
    <x v="1"/>
    <x v="0"/>
  </r>
  <r>
    <n v="229"/>
    <n v="54"/>
    <x v="3"/>
    <m/>
    <n v="1"/>
    <n v="3"/>
    <n v="110"/>
    <s v="94-120"/>
    <n v="206"/>
    <x v="0"/>
    <x v="1"/>
    <x v="0"/>
    <n v="108"/>
    <x v="1"/>
    <x v="1"/>
    <n v="0"/>
    <x v="1"/>
    <x v="1"/>
    <x v="3"/>
    <x v="1"/>
    <x v="1"/>
  </r>
  <r>
    <n v="230"/>
    <n v="66"/>
    <x v="0"/>
    <m/>
    <n v="1"/>
    <n v="3"/>
    <n v="112"/>
    <s v="94-120"/>
    <n v="212"/>
    <x v="0"/>
    <x v="1"/>
    <x v="0"/>
    <n v="132"/>
    <x v="0"/>
    <x v="1"/>
    <n v="0.1"/>
    <x v="1"/>
    <x v="2"/>
    <x v="3"/>
    <x v="1"/>
    <x v="1"/>
  </r>
  <r>
    <n v="231"/>
    <n v="52"/>
    <x v="3"/>
    <m/>
    <n v="0"/>
    <n v="2"/>
    <n v="136"/>
    <s v="121-150"/>
    <n v="196"/>
    <x v="3"/>
    <x v="1"/>
    <x v="0"/>
    <n v="169"/>
    <x v="2"/>
    <x v="0"/>
    <n v="0.1"/>
    <x v="1"/>
    <x v="1"/>
    <x v="0"/>
    <x v="1"/>
    <x v="0"/>
  </r>
  <r>
    <n v="232"/>
    <n v="55"/>
    <x v="3"/>
    <m/>
    <n v="0"/>
    <n v="3"/>
    <n v="180"/>
    <s v="180+"/>
    <n v="327"/>
    <x v="4"/>
    <x v="1"/>
    <x v="2"/>
    <n v="117"/>
    <x v="1"/>
    <x v="1"/>
    <n v="3.4"/>
    <x v="2"/>
    <x v="1"/>
    <x v="0"/>
    <x v="1"/>
    <x v="1"/>
  </r>
  <r>
    <n v="233"/>
    <n v="49"/>
    <x v="3"/>
    <m/>
    <n v="1"/>
    <n v="2"/>
    <n v="118"/>
    <s v="94-120"/>
    <n v="149"/>
    <x v="3"/>
    <x v="1"/>
    <x v="0"/>
    <n v="126"/>
    <x v="1"/>
    <x v="0"/>
    <n v="0.8"/>
    <x v="1"/>
    <x v="2"/>
    <x v="1"/>
    <x v="1"/>
    <x v="1"/>
  </r>
  <r>
    <n v="234"/>
    <n v="74"/>
    <x v="1"/>
    <m/>
    <n v="0"/>
    <n v="1"/>
    <n v="120"/>
    <s v="94-120"/>
    <n v="269"/>
    <x v="1"/>
    <x v="1"/>
    <x v="0"/>
    <n v="121"/>
    <x v="1"/>
    <x v="1"/>
    <n v="0.2"/>
    <x v="1"/>
    <x v="2"/>
    <x v="3"/>
    <x v="1"/>
    <x v="0"/>
  </r>
  <r>
    <n v="235"/>
    <n v="54"/>
    <x v="3"/>
    <m/>
    <n v="0"/>
    <n v="2"/>
    <n v="160"/>
    <s v="151-180"/>
    <n v="201"/>
    <x v="0"/>
    <x v="1"/>
    <x v="1"/>
    <n v="163"/>
    <x v="2"/>
    <x v="0"/>
    <n v="0"/>
    <x v="1"/>
    <x v="2"/>
    <x v="3"/>
    <x v="1"/>
    <x v="0"/>
  </r>
  <r>
    <n v="236"/>
    <n v="54"/>
    <x v="3"/>
    <m/>
    <n v="1"/>
    <n v="3"/>
    <n v="122"/>
    <s v="121-150"/>
    <n v="286"/>
    <x v="1"/>
    <x v="1"/>
    <x v="0"/>
    <n v="116"/>
    <x v="1"/>
    <x v="1"/>
    <n v="3.2"/>
    <x v="2"/>
    <x v="1"/>
    <x v="2"/>
    <x v="1"/>
    <x v="1"/>
  </r>
  <r>
    <n v="237"/>
    <n v="56"/>
    <x v="3"/>
    <m/>
    <n v="1"/>
    <n v="3"/>
    <n v="130"/>
    <s v="121-150"/>
    <n v="283"/>
    <x v="1"/>
    <x v="0"/>
    <x v="0"/>
    <n v="103"/>
    <x v="1"/>
    <x v="1"/>
    <n v="1.6"/>
    <x v="0"/>
    <x v="0"/>
    <x v="0"/>
    <x v="2"/>
    <x v="1"/>
  </r>
  <r>
    <n v="238"/>
    <n v="46"/>
    <x v="2"/>
    <m/>
    <n v="1"/>
    <n v="3"/>
    <n v="120"/>
    <s v="94-120"/>
    <n v="249"/>
    <x v="0"/>
    <x v="1"/>
    <x v="0"/>
    <n v="144"/>
    <x v="0"/>
    <x v="0"/>
    <n v="0.8"/>
    <x v="1"/>
    <x v="2"/>
    <x v="0"/>
    <x v="2"/>
    <x v="1"/>
  </r>
  <r>
    <n v="239"/>
    <n v="49"/>
    <x v="3"/>
    <m/>
    <n v="0"/>
    <n v="1"/>
    <n v="134"/>
    <s v="121-150"/>
    <n v="271"/>
    <x v="1"/>
    <x v="1"/>
    <x v="1"/>
    <n v="162"/>
    <x v="2"/>
    <x v="0"/>
    <n v="0"/>
    <x v="1"/>
    <x v="1"/>
    <x v="0"/>
    <x v="1"/>
    <x v="0"/>
  </r>
  <r>
    <n v="240"/>
    <n v="42"/>
    <x v="2"/>
    <m/>
    <n v="1"/>
    <n v="1"/>
    <n v="120"/>
    <s v="94-120"/>
    <n v="295"/>
    <x v="1"/>
    <x v="1"/>
    <x v="1"/>
    <n v="162"/>
    <x v="2"/>
    <x v="0"/>
    <n v="0"/>
    <x v="1"/>
    <x v="2"/>
    <x v="0"/>
    <x v="1"/>
    <x v="0"/>
  </r>
  <r>
    <n v="241"/>
    <n v="41"/>
    <x v="2"/>
    <m/>
    <n v="1"/>
    <n v="1"/>
    <n v="110"/>
    <s v="94-120"/>
    <n v="235"/>
    <x v="0"/>
    <x v="1"/>
    <x v="1"/>
    <n v="153"/>
    <x v="0"/>
    <x v="0"/>
    <n v="0"/>
    <x v="1"/>
    <x v="2"/>
    <x v="0"/>
    <x v="1"/>
    <x v="0"/>
  </r>
  <r>
    <n v="242"/>
    <n v="41"/>
    <x v="2"/>
    <m/>
    <n v="0"/>
    <n v="1"/>
    <n v="126"/>
    <s v="121-150"/>
    <n v="306"/>
    <x v="4"/>
    <x v="1"/>
    <x v="1"/>
    <n v="163"/>
    <x v="2"/>
    <x v="0"/>
    <n v="0"/>
    <x v="1"/>
    <x v="2"/>
    <x v="0"/>
    <x v="1"/>
    <x v="0"/>
  </r>
  <r>
    <n v="243"/>
    <n v="49"/>
    <x v="3"/>
    <m/>
    <n v="0"/>
    <n v="3"/>
    <n v="130"/>
    <s v="121-150"/>
    <n v="269"/>
    <x v="1"/>
    <x v="1"/>
    <x v="1"/>
    <n v="163"/>
    <x v="2"/>
    <x v="0"/>
    <n v="0"/>
    <x v="1"/>
    <x v="2"/>
    <x v="0"/>
    <x v="1"/>
    <x v="0"/>
  </r>
  <r>
    <n v="244"/>
    <n v="61"/>
    <x v="0"/>
    <m/>
    <n v="1"/>
    <n v="0"/>
    <n v="134"/>
    <s v="121-150"/>
    <n v="234"/>
    <x v="0"/>
    <x v="1"/>
    <x v="1"/>
    <n v="145"/>
    <x v="0"/>
    <x v="0"/>
    <n v="2.6"/>
    <x v="0"/>
    <x v="1"/>
    <x v="2"/>
    <x v="1"/>
    <x v="1"/>
  </r>
  <r>
    <n v="245"/>
    <n v="60"/>
    <x v="0"/>
    <m/>
    <n v="0"/>
    <n v="2"/>
    <n v="120"/>
    <s v="94-120"/>
    <n v="178"/>
    <x v="3"/>
    <x v="0"/>
    <x v="1"/>
    <n v="96"/>
    <x v="3"/>
    <x v="0"/>
    <n v="0"/>
    <x v="1"/>
    <x v="2"/>
    <x v="0"/>
    <x v="1"/>
    <x v="0"/>
  </r>
  <r>
    <n v="246"/>
    <n v="67"/>
    <x v="1"/>
    <m/>
    <n v="1"/>
    <n v="3"/>
    <n v="120"/>
    <s v="94-120"/>
    <n v="237"/>
    <x v="0"/>
    <x v="1"/>
    <x v="1"/>
    <n v="71"/>
    <x v="3"/>
    <x v="0"/>
    <n v="1"/>
    <x v="1"/>
    <x v="1"/>
    <x v="0"/>
    <x v="1"/>
    <x v="1"/>
  </r>
  <r>
    <n v="247"/>
    <n v="58"/>
    <x v="0"/>
    <m/>
    <n v="1"/>
    <n v="3"/>
    <n v="100"/>
    <s v="94-120"/>
    <n v="234"/>
    <x v="0"/>
    <x v="1"/>
    <x v="1"/>
    <n v="156"/>
    <x v="0"/>
    <x v="0"/>
    <n v="0.1"/>
    <x v="1"/>
    <x v="2"/>
    <x v="3"/>
    <x v="2"/>
    <x v="1"/>
  </r>
  <r>
    <n v="248"/>
    <n v="47"/>
    <x v="3"/>
    <m/>
    <n v="1"/>
    <n v="3"/>
    <n v="110"/>
    <s v="94-120"/>
    <n v="275"/>
    <x v="1"/>
    <x v="1"/>
    <x v="0"/>
    <n v="118"/>
    <x v="1"/>
    <x v="1"/>
    <n v="1"/>
    <x v="1"/>
    <x v="1"/>
    <x v="3"/>
    <x v="1"/>
    <x v="1"/>
  </r>
  <r>
    <n v="249"/>
    <n v="52"/>
    <x v="3"/>
    <m/>
    <n v="1"/>
    <n v="3"/>
    <n v="125"/>
    <s v="121-150"/>
    <n v="212"/>
    <x v="0"/>
    <x v="1"/>
    <x v="1"/>
    <n v="168"/>
    <x v="2"/>
    <x v="0"/>
    <n v="1"/>
    <x v="1"/>
    <x v="2"/>
    <x v="2"/>
    <x v="2"/>
    <x v="1"/>
  </r>
  <r>
    <n v="250"/>
    <n v="62"/>
    <x v="0"/>
    <m/>
    <n v="1"/>
    <n v="1"/>
    <n v="128"/>
    <s v="121-150"/>
    <n v="208"/>
    <x v="0"/>
    <x v="0"/>
    <x v="0"/>
    <n v="140"/>
    <x v="0"/>
    <x v="0"/>
    <n v="0"/>
    <x v="1"/>
    <x v="2"/>
    <x v="0"/>
    <x v="1"/>
    <x v="0"/>
  </r>
  <r>
    <n v="251"/>
    <n v="57"/>
    <x v="0"/>
    <m/>
    <n v="1"/>
    <n v="3"/>
    <n v="110"/>
    <s v="94-120"/>
    <n v="201"/>
    <x v="0"/>
    <x v="1"/>
    <x v="1"/>
    <n v="126"/>
    <x v="1"/>
    <x v="1"/>
    <n v="1.5"/>
    <x v="1"/>
    <x v="1"/>
    <x v="0"/>
    <x v="0"/>
    <x v="0"/>
  </r>
  <r>
    <n v="252"/>
    <n v="58"/>
    <x v="0"/>
    <m/>
    <n v="1"/>
    <n v="3"/>
    <n v="146"/>
    <s v="121-150"/>
    <n v="218"/>
    <x v="0"/>
    <x v="1"/>
    <x v="1"/>
    <n v="105"/>
    <x v="1"/>
    <x v="0"/>
    <n v="2"/>
    <x v="0"/>
    <x v="1"/>
    <x v="3"/>
    <x v="2"/>
    <x v="1"/>
  </r>
  <r>
    <n v="253"/>
    <n v="64"/>
    <x v="0"/>
    <m/>
    <n v="1"/>
    <n v="3"/>
    <n v="128"/>
    <s v="121-150"/>
    <n v="263"/>
    <x v="1"/>
    <x v="1"/>
    <x v="1"/>
    <n v="105"/>
    <x v="1"/>
    <x v="1"/>
    <n v="0.2"/>
    <x v="1"/>
    <x v="1"/>
    <x v="3"/>
    <x v="2"/>
    <x v="0"/>
  </r>
  <r>
    <n v="254"/>
    <n v="51"/>
    <x v="3"/>
    <m/>
    <n v="0"/>
    <n v="2"/>
    <n v="120"/>
    <s v="94-120"/>
    <n v="295"/>
    <x v="1"/>
    <x v="1"/>
    <x v="0"/>
    <n v="157"/>
    <x v="0"/>
    <x v="0"/>
    <n v="0.6"/>
    <x v="1"/>
    <x v="2"/>
    <x v="0"/>
    <x v="1"/>
    <x v="0"/>
  </r>
  <r>
    <n v="255"/>
    <n v="43"/>
    <x v="2"/>
    <m/>
    <n v="1"/>
    <n v="3"/>
    <n v="115"/>
    <s v="94-120"/>
    <n v="303"/>
    <x v="4"/>
    <x v="1"/>
    <x v="1"/>
    <n v="181"/>
    <x v="2"/>
    <x v="0"/>
    <n v="1.2"/>
    <x v="1"/>
    <x v="1"/>
    <x v="0"/>
    <x v="1"/>
    <x v="0"/>
  </r>
  <r>
    <n v="256"/>
    <n v="42"/>
    <x v="2"/>
    <m/>
    <n v="0"/>
    <n v="2"/>
    <n v="120"/>
    <s v="94-120"/>
    <n v="209"/>
    <x v="0"/>
    <x v="1"/>
    <x v="1"/>
    <n v="173"/>
    <x v="2"/>
    <x v="0"/>
    <n v="0"/>
    <x v="1"/>
    <x v="1"/>
    <x v="0"/>
    <x v="1"/>
    <x v="0"/>
  </r>
  <r>
    <n v="257"/>
    <n v="67"/>
    <x v="1"/>
    <m/>
    <n v="0"/>
    <n v="3"/>
    <n v="106"/>
    <s v="94-120"/>
    <n v="223"/>
    <x v="0"/>
    <x v="1"/>
    <x v="1"/>
    <n v="142"/>
    <x v="0"/>
    <x v="0"/>
    <n v="0.3"/>
    <x v="1"/>
    <x v="2"/>
    <x v="2"/>
    <x v="1"/>
    <x v="0"/>
  </r>
  <r>
    <n v="258"/>
    <n v="76"/>
    <x v="1"/>
    <m/>
    <n v="0"/>
    <n v="2"/>
    <n v="140"/>
    <s v="121-150"/>
    <n v="197"/>
    <x v="3"/>
    <x v="1"/>
    <x v="2"/>
    <n v="116"/>
    <x v="1"/>
    <x v="0"/>
    <n v="1.1000000000000001"/>
    <x v="1"/>
    <x v="1"/>
    <x v="0"/>
    <x v="1"/>
    <x v="0"/>
  </r>
  <r>
    <n v="259"/>
    <n v="70"/>
    <x v="1"/>
    <m/>
    <n v="1"/>
    <n v="1"/>
    <n v="156"/>
    <s v="151-180"/>
    <n v="245"/>
    <x v="0"/>
    <x v="1"/>
    <x v="0"/>
    <n v="143"/>
    <x v="0"/>
    <x v="0"/>
    <n v="0"/>
    <x v="1"/>
    <x v="2"/>
    <x v="0"/>
    <x v="1"/>
    <x v="0"/>
  </r>
  <r>
    <n v="260"/>
    <n v="57"/>
    <x v="0"/>
    <m/>
    <n v="1"/>
    <n v="1"/>
    <n v="124"/>
    <s v="121-150"/>
    <n v="261"/>
    <x v="1"/>
    <x v="1"/>
    <x v="1"/>
    <n v="141"/>
    <x v="0"/>
    <x v="0"/>
    <n v="0.3"/>
    <x v="1"/>
    <x v="2"/>
    <x v="0"/>
    <x v="2"/>
    <x v="1"/>
  </r>
  <r>
    <n v="261"/>
    <n v="44"/>
    <x v="2"/>
    <m/>
    <n v="0"/>
    <n v="2"/>
    <n v="118"/>
    <s v="94-120"/>
    <n v="242"/>
    <x v="0"/>
    <x v="1"/>
    <x v="1"/>
    <n v="149"/>
    <x v="0"/>
    <x v="0"/>
    <n v="0.3"/>
    <x v="1"/>
    <x v="1"/>
    <x v="3"/>
    <x v="1"/>
    <x v="0"/>
  </r>
  <r>
    <n v="262"/>
    <n v="58"/>
    <x v="0"/>
    <m/>
    <n v="0"/>
    <n v="1"/>
    <n v="136"/>
    <s v="121-150"/>
    <n v="319"/>
    <x v="4"/>
    <x v="0"/>
    <x v="0"/>
    <n v="152"/>
    <x v="0"/>
    <x v="0"/>
    <n v="0"/>
    <x v="1"/>
    <x v="2"/>
    <x v="2"/>
    <x v="1"/>
    <x v="1"/>
  </r>
  <r>
    <n v="263"/>
    <n v="60"/>
    <x v="0"/>
    <m/>
    <n v="0"/>
    <n v="0"/>
    <n v="150"/>
    <s v="121-150"/>
    <n v="240"/>
    <x v="0"/>
    <x v="1"/>
    <x v="1"/>
    <n v="171"/>
    <x v="2"/>
    <x v="0"/>
    <n v="0.9"/>
    <x v="1"/>
    <x v="2"/>
    <x v="0"/>
    <x v="1"/>
    <x v="0"/>
  </r>
  <r>
    <n v="264"/>
    <n v="44"/>
    <x v="2"/>
    <m/>
    <n v="1"/>
    <n v="2"/>
    <n v="120"/>
    <s v="94-120"/>
    <n v="226"/>
    <x v="0"/>
    <x v="1"/>
    <x v="1"/>
    <n v="169"/>
    <x v="2"/>
    <x v="0"/>
    <n v="0"/>
    <x v="1"/>
    <x v="2"/>
    <x v="0"/>
    <x v="1"/>
    <x v="0"/>
  </r>
  <r>
    <n v="265"/>
    <n v="61"/>
    <x v="0"/>
    <m/>
    <n v="1"/>
    <n v="3"/>
    <n v="138"/>
    <s v="121-150"/>
    <n v="166"/>
    <x v="3"/>
    <x v="1"/>
    <x v="0"/>
    <n v="125"/>
    <x v="1"/>
    <x v="1"/>
    <n v="3.6"/>
    <x v="2"/>
    <x v="1"/>
    <x v="3"/>
    <x v="1"/>
    <x v="1"/>
  </r>
  <r>
    <n v="266"/>
    <n v="42"/>
    <x v="2"/>
    <m/>
    <n v="1"/>
    <n v="3"/>
    <n v="136"/>
    <s v="121-150"/>
    <n v="315"/>
    <x v="4"/>
    <x v="1"/>
    <x v="1"/>
    <n v="125"/>
    <x v="1"/>
    <x v="1"/>
    <n v="1.8"/>
    <x v="0"/>
    <x v="1"/>
    <x v="0"/>
    <x v="0"/>
    <x v="1"/>
  </r>
  <r>
    <n v="267"/>
    <n v="52"/>
    <x v="3"/>
    <m/>
    <n v="1"/>
    <n v="3"/>
    <n v="128"/>
    <s v="121-150"/>
    <n v="204"/>
    <x v="0"/>
    <x v="0"/>
    <x v="1"/>
    <n v="156"/>
    <x v="0"/>
    <x v="1"/>
    <n v="1"/>
    <x v="1"/>
    <x v="1"/>
    <x v="0"/>
    <x v="1"/>
    <x v="1"/>
  </r>
  <r>
    <n v="268"/>
    <n v="59"/>
    <x v="0"/>
    <m/>
    <n v="1"/>
    <n v="2"/>
    <n v="126"/>
    <s v="121-150"/>
    <n v="218"/>
    <x v="0"/>
    <x v="0"/>
    <x v="1"/>
    <n v="134"/>
    <x v="0"/>
    <x v="0"/>
    <n v="2.2000000000000002"/>
    <x v="0"/>
    <x v="1"/>
    <x v="3"/>
    <x v="0"/>
    <x v="1"/>
  </r>
  <r>
    <n v="269"/>
    <n v="40"/>
    <x v="2"/>
    <m/>
    <n v="1"/>
    <n v="3"/>
    <n v="152"/>
    <s v="151-180"/>
    <n v="223"/>
    <x v="0"/>
    <x v="1"/>
    <x v="1"/>
    <n v="181"/>
    <x v="2"/>
    <x v="0"/>
    <n v="0"/>
    <x v="1"/>
    <x v="2"/>
    <x v="0"/>
    <x v="2"/>
    <x v="1"/>
  </r>
  <r>
    <n v="270"/>
    <n v="42"/>
    <x v="2"/>
    <m/>
    <n v="1"/>
    <n v="2"/>
    <n v="130"/>
    <s v="121-150"/>
    <n v="180"/>
    <x v="3"/>
    <x v="1"/>
    <x v="1"/>
    <n v="150"/>
    <x v="0"/>
    <x v="0"/>
    <n v="0"/>
    <x v="1"/>
    <x v="2"/>
    <x v="0"/>
    <x v="1"/>
    <x v="0"/>
  </r>
  <r>
    <n v="271"/>
    <n v="61"/>
    <x v="0"/>
    <m/>
    <n v="1"/>
    <n v="3"/>
    <n v="140"/>
    <s v="121-150"/>
    <n v="207"/>
    <x v="0"/>
    <x v="1"/>
    <x v="0"/>
    <n v="138"/>
    <x v="0"/>
    <x v="1"/>
    <n v="1.9"/>
    <x v="0"/>
    <x v="2"/>
    <x v="3"/>
    <x v="2"/>
    <x v="1"/>
  </r>
  <r>
    <n v="272"/>
    <n v="66"/>
    <x v="0"/>
    <m/>
    <n v="1"/>
    <n v="3"/>
    <n v="160"/>
    <s v="151-180"/>
    <n v="228"/>
    <x v="0"/>
    <x v="1"/>
    <x v="0"/>
    <n v="138"/>
    <x v="0"/>
    <x v="0"/>
    <n v="2.2999999999999998"/>
    <x v="0"/>
    <x v="2"/>
    <x v="0"/>
    <x v="0"/>
    <x v="0"/>
  </r>
  <r>
    <n v="273"/>
    <n v="46"/>
    <x v="2"/>
    <m/>
    <n v="1"/>
    <n v="3"/>
    <n v="140"/>
    <s v="121-150"/>
    <n v="311"/>
    <x v="4"/>
    <x v="1"/>
    <x v="1"/>
    <n v="120"/>
    <x v="1"/>
    <x v="1"/>
    <n v="1.8"/>
    <x v="0"/>
    <x v="1"/>
    <x v="2"/>
    <x v="2"/>
    <x v="1"/>
  </r>
  <r>
    <n v="274"/>
    <n v="71"/>
    <x v="1"/>
    <m/>
    <n v="0"/>
    <n v="3"/>
    <n v="112"/>
    <s v="94-120"/>
    <n v="149"/>
    <x v="3"/>
    <x v="1"/>
    <x v="1"/>
    <n v="125"/>
    <x v="1"/>
    <x v="0"/>
    <n v="1.6"/>
    <x v="0"/>
    <x v="1"/>
    <x v="0"/>
    <x v="1"/>
    <x v="0"/>
  </r>
  <r>
    <n v="275"/>
    <n v="59"/>
    <x v="0"/>
    <m/>
    <n v="1"/>
    <n v="0"/>
    <n v="134"/>
    <s v="121-150"/>
    <n v="204"/>
    <x v="0"/>
    <x v="1"/>
    <x v="1"/>
    <n v="162"/>
    <x v="2"/>
    <x v="0"/>
    <n v="0.8"/>
    <x v="1"/>
    <x v="2"/>
    <x v="2"/>
    <x v="1"/>
    <x v="1"/>
  </r>
  <r>
    <n v="276"/>
    <n v="64"/>
    <x v="0"/>
    <m/>
    <n v="1"/>
    <n v="0"/>
    <n v="170"/>
    <s v="151-180"/>
    <n v="227"/>
    <x v="0"/>
    <x v="1"/>
    <x v="0"/>
    <n v="155"/>
    <x v="0"/>
    <x v="0"/>
    <n v="0.6"/>
    <x v="1"/>
    <x v="1"/>
    <x v="0"/>
    <x v="2"/>
    <x v="0"/>
  </r>
  <r>
    <n v="277"/>
    <n v="66"/>
    <x v="0"/>
    <m/>
    <n v="0"/>
    <n v="2"/>
    <n v="146"/>
    <s v="121-150"/>
    <n v="278"/>
    <x v="1"/>
    <x v="1"/>
    <x v="0"/>
    <n v="152"/>
    <x v="0"/>
    <x v="0"/>
    <n v="0"/>
    <x v="1"/>
    <x v="1"/>
    <x v="3"/>
    <x v="1"/>
    <x v="0"/>
  </r>
  <r>
    <n v="278"/>
    <n v="39"/>
    <x v="2"/>
    <m/>
    <n v="0"/>
    <n v="2"/>
    <n v="138"/>
    <s v="121-150"/>
    <n v="220"/>
    <x v="0"/>
    <x v="1"/>
    <x v="1"/>
    <n v="152"/>
    <x v="0"/>
    <x v="0"/>
    <n v="0"/>
    <x v="1"/>
    <x v="1"/>
    <x v="0"/>
    <x v="1"/>
    <x v="0"/>
  </r>
  <r>
    <n v="279"/>
    <n v="57"/>
    <x v="0"/>
    <m/>
    <n v="1"/>
    <n v="1"/>
    <n v="154"/>
    <s v="151-180"/>
    <n v="232"/>
    <x v="0"/>
    <x v="1"/>
    <x v="0"/>
    <n v="164"/>
    <x v="2"/>
    <x v="0"/>
    <n v="0"/>
    <x v="1"/>
    <x v="2"/>
    <x v="3"/>
    <x v="1"/>
    <x v="1"/>
  </r>
  <r>
    <n v="280"/>
    <n v="58"/>
    <x v="0"/>
    <m/>
    <n v="0"/>
    <n v="3"/>
    <n v="130"/>
    <s v="121-150"/>
    <n v="197"/>
    <x v="3"/>
    <x v="1"/>
    <x v="1"/>
    <n v="131"/>
    <x v="0"/>
    <x v="0"/>
    <n v="0.6"/>
    <x v="1"/>
    <x v="1"/>
    <x v="0"/>
    <x v="1"/>
    <x v="0"/>
  </r>
  <r>
    <n v="281"/>
    <n v="57"/>
    <x v="0"/>
    <m/>
    <n v="1"/>
    <n v="3"/>
    <n v="110"/>
    <s v="94-120"/>
    <n v="335"/>
    <x v="4"/>
    <x v="1"/>
    <x v="1"/>
    <n v="143"/>
    <x v="0"/>
    <x v="1"/>
    <n v="3"/>
    <x v="2"/>
    <x v="1"/>
    <x v="3"/>
    <x v="2"/>
    <x v="1"/>
  </r>
  <r>
    <n v="282"/>
    <n v="47"/>
    <x v="3"/>
    <m/>
    <n v="1"/>
    <n v="2"/>
    <n v="130"/>
    <s v="121-150"/>
    <n v="253"/>
    <x v="1"/>
    <x v="1"/>
    <x v="1"/>
    <n v="179"/>
    <x v="2"/>
    <x v="0"/>
    <n v="0"/>
    <x v="1"/>
    <x v="2"/>
    <x v="0"/>
    <x v="1"/>
    <x v="0"/>
  </r>
  <r>
    <n v="283"/>
    <n v="55"/>
    <x v="3"/>
    <m/>
    <n v="0"/>
    <n v="3"/>
    <n v="128"/>
    <s v="121-150"/>
    <n v="205"/>
    <x v="0"/>
    <x v="1"/>
    <x v="2"/>
    <n v="130"/>
    <x v="1"/>
    <x v="1"/>
    <n v="2"/>
    <x v="0"/>
    <x v="1"/>
    <x v="3"/>
    <x v="2"/>
    <x v="1"/>
  </r>
  <r>
    <n v="284"/>
    <n v="35"/>
    <x v="4"/>
    <m/>
    <n v="1"/>
    <n v="1"/>
    <n v="122"/>
    <s v="121-150"/>
    <n v="192"/>
    <x v="3"/>
    <x v="1"/>
    <x v="1"/>
    <n v="174"/>
    <x v="2"/>
    <x v="0"/>
    <n v="0"/>
    <x v="1"/>
    <x v="2"/>
    <x v="0"/>
    <x v="1"/>
    <x v="0"/>
  </r>
  <r>
    <n v="285"/>
    <n v="61"/>
    <x v="0"/>
    <m/>
    <n v="1"/>
    <n v="3"/>
    <n v="148"/>
    <s v="121-150"/>
    <n v="203"/>
    <x v="0"/>
    <x v="1"/>
    <x v="1"/>
    <n v="161"/>
    <x v="2"/>
    <x v="0"/>
    <n v="0"/>
    <x v="1"/>
    <x v="2"/>
    <x v="3"/>
    <x v="2"/>
    <x v="1"/>
  </r>
  <r>
    <n v="286"/>
    <n v="58"/>
    <x v="0"/>
    <m/>
    <n v="1"/>
    <n v="3"/>
    <n v="114"/>
    <s v="94-120"/>
    <n v="318"/>
    <x v="4"/>
    <x v="1"/>
    <x v="2"/>
    <n v="140"/>
    <x v="0"/>
    <x v="0"/>
    <n v="4.4000000000000004"/>
    <x v="3"/>
    <x v="0"/>
    <x v="1"/>
    <x v="0"/>
    <x v="1"/>
  </r>
  <r>
    <n v="287"/>
    <n v="58"/>
    <x v="0"/>
    <m/>
    <n v="0"/>
    <n v="3"/>
    <n v="170"/>
    <s v="151-180"/>
    <n v="225"/>
    <x v="0"/>
    <x v="0"/>
    <x v="0"/>
    <n v="146"/>
    <x v="0"/>
    <x v="1"/>
    <n v="2.8"/>
    <x v="0"/>
    <x v="1"/>
    <x v="2"/>
    <x v="0"/>
    <x v="1"/>
  </r>
  <r>
    <n v="288"/>
    <n v="58"/>
    <x v="0"/>
    <m/>
    <n v="1"/>
    <n v="1"/>
    <n v="125"/>
    <s v="121-150"/>
    <n v="220"/>
    <x v="0"/>
    <x v="1"/>
    <x v="1"/>
    <n v="144"/>
    <x v="0"/>
    <x v="0"/>
    <n v="0.4"/>
    <x v="1"/>
    <x v="1"/>
    <x v="0"/>
    <x v="2"/>
    <x v="0"/>
  </r>
  <r>
    <n v="289"/>
    <n v="56"/>
    <x v="3"/>
    <m/>
    <n v="1"/>
    <n v="1"/>
    <n v="130"/>
    <s v="121-150"/>
    <n v="221"/>
    <x v="0"/>
    <x v="1"/>
    <x v="0"/>
    <n v="163"/>
    <x v="2"/>
    <x v="0"/>
    <n v="0"/>
    <x v="1"/>
    <x v="2"/>
    <x v="0"/>
    <x v="2"/>
    <x v="0"/>
  </r>
  <r>
    <n v="290"/>
    <n v="56"/>
    <x v="3"/>
    <m/>
    <n v="1"/>
    <n v="1"/>
    <n v="120"/>
    <s v="94-120"/>
    <n v="240"/>
    <x v="0"/>
    <x v="1"/>
    <x v="1"/>
    <n v="169"/>
    <x v="2"/>
    <x v="0"/>
    <n v="0"/>
    <x v="1"/>
    <x v="0"/>
    <x v="0"/>
    <x v="1"/>
    <x v="0"/>
  </r>
  <r>
    <n v="291"/>
    <n v="67"/>
    <x v="1"/>
    <m/>
    <n v="1"/>
    <n v="2"/>
    <n v="152"/>
    <s v="151-180"/>
    <n v="212"/>
    <x v="0"/>
    <x v="1"/>
    <x v="0"/>
    <n v="150"/>
    <x v="0"/>
    <x v="0"/>
    <n v="0.8"/>
    <x v="1"/>
    <x v="1"/>
    <x v="0"/>
    <x v="2"/>
    <x v="1"/>
  </r>
  <r>
    <n v="292"/>
    <n v="55"/>
    <x v="3"/>
    <m/>
    <n v="0"/>
    <n v="1"/>
    <n v="132"/>
    <s v="121-150"/>
    <n v="342"/>
    <x v="4"/>
    <x v="1"/>
    <x v="1"/>
    <n v="166"/>
    <x v="2"/>
    <x v="0"/>
    <n v="1.2"/>
    <x v="1"/>
    <x v="2"/>
    <x v="0"/>
    <x v="1"/>
    <x v="0"/>
  </r>
  <r>
    <n v="293"/>
    <n v="44"/>
    <x v="2"/>
    <m/>
    <n v="1"/>
    <n v="3"/>
    <n v="120"/>
    <s v="94-120"/>
    <n v="169"/>
    <x v="3"/>
    <x v="1"/>
    <x v="1"/>
    <n v="144"/>
    <x v="0"/>
    <x v="1"/>
    <n v="2.8"/>
    <x v="0"/>
    <x v="0"/>
    <x v="0"/>
    <x v="0"/>
    <x v="1"/>
  </r>
  <r>
    <n v="294"/>
    <n v="63"/>
    <x v="0"/>
    <m/>
    <n v="1"/>
    <n v="3"/>
    <n v="140"/>
    <s v="121-150"/>
    <n v="187"/>
    <x v="3"/>
    <x v="1"/>
    <x v="0"/>
    <n v="144"/>
    <x v="0"/>
    <x v="1"/>
    <n v="4"/>
    <x v="2"/>
    <x v="2"/>
    <x v="2"/>
    <x v="2"/>
    <x v="1"/>
  </r>
  <r>
    <n v="295"/>
    <n v="63"/>
    <x v="0"/>
    <m/>
    <n v="0"/>
    <n v="3"/>
    <n v="124"/>
    <s v="121-150"/>
    <n v="197"/>
    <x v="3"/>
    <x v="1"/>
    <x v="1"/>
    <n v="136"/>
    <x v="0"/>
    <x v="1"/>
    <n v="0"/>
    <x v="1"/>
    <x v="1"/>
    <x v="0"/>
    <x v="1"/>
    <x v="1"/>
  </r>
  <r>
    <n v="296"/>
    <n v="41"/>
    <x v="2"/>
    <m/>
    <n v="1"/>
    <n v="1"/>
    <n v="120"/>
    <s v="94-120"/>
    <n v="157"/>
    <x v="3"/>
    <x v="1"/>
    <x v="1"/>
    <n v="182"/>
    <x v="2"/>
    <x v="0"/>
    <n v="0"/>
    <x v="1"/>
    <x v="2"/>
    <x v="0"/>
    <x v="1"/>
    <x v="0"/>
  </r>
  <r>
    <n v="297"/>
    <n v="59"/>
    <x v="0"/>
    <m/>
    <n v="1"/>
    <n v="3"/>
    <n v="164"/>
    <s v="151-180"/>
    <n v="176"/>
    <x v="3"/>
    <x v="0"/>
    <x v="0"/>
    <n v="90"/>
    <x v="3"/>
    <x v="0"/>
    <n v="1"/>
    <x v="1"/>
    <x v="1"/>
    <x v="2"/>
    <x v="0"/>
    <x v="1"/>
  </r>
  <r>
    <n v="298"/>
    <n v="57"/>
    <x v="0"/>
    <m/>
    <n v="0"/>
    <n v="3"/>
    <n v="140"/>
    <s v="121-150"/>
    <n v="241"/>
    <x v="0"/>
    <x v="1"/>
    <x v="1"/>
    <n v="123"/>
    <x v="1"/>
    <x v="1"/>
    <n v="0.2"/>
    <x v="1"/>
    <x v="1"/>
    <x v="0"/>
    <x v="2"/>
    <x v="1"/>
  </r>
  <r>
    <n v="299"/>
    <n v="45"/>
    <x v="2"/>
    <m/>
    <n v="1"/>
    <n v="0"/>
    <n v="110"/>
    <s v="94-120"/>
    <n v="264"/>
    <x v="1"/>
    <x v="1"/>
    <x v="1"/>
    <n v="132"/>
    <x v="0"/>
    <x v="0"/>
    <n v="1.2"/>
    <x v="1"/>
    <x v="1"/>
    <x v="0"/>
    <x v="2"/>
    <x v="1"/>
  </r>
  <r>
    <n v="300"/>
    <n v="68"/>
    <x v="1"/>
    <m/>
    <n v="1"/>
    <n v="3"/>
    <n v="144"/>
    <s v="121-150"/>
    <n v="193"/>
    <x v="3"/>
    <x v="0"/>
    <x v="1"/>
    <n v="141"/>
    <x v="0"/>
    <x v="0"/>
    <n v="3.4"/>
    <x v="2"/>
    <x v="1"/>
    <x v="2"/>
    <x v="2"/>
    <x v="1"/>
  </r>
  <r>
    <n v="301"/>
    <n v="57"/>
    <x v="0"/>
    <m/>
    <n v="1"/>
    <n v="3"/>
    <n v="130"/>
    <s v="121-150"/>
    <n v="131"/>
    <x v="3"/>
    <x v="1"/>
    <x v="1"/>
    <n v="115"/>
    <x v="1"/>
    <x v="1"/>
    <n v="1.2"/>
    <x v="1"/>
    <x v="1"/>
    <x v="3"/>
    <x v="2"/>
    <x v="1"/>
  </r>
  <r>
    <n v="302"/>
    <n v="57"/>
    <x v="0"/>
    <m/>
    <n v="0"/>
    <n v="1"/>
    <n v="130"/>
    <s v="121-150"/>
    <n v="236"/>
    <x v="0"/>
    <x v="1"/>
    <x v="0"/>
    <n v="174"/>
    <x v="2"/>
    <x v="0"/>
    <n v="0"/>
    <x v="1"/>
    <x v="1"/>
    <x v="3"/>
    <x v="1"/>
    <x v="1"/>
  </r>
  <r>
    <n v="303"/>
    <n v="38"/>
    <x v="2"/>
    <m/>
    <n v="1"/>
    <n v="2"/>
    <n v="138"/>
    <s v="121-150"/>
    <n v="175"/>
    <x v="3"/>
    <x v="1"/>
    <x v="1"/>
    <n v="173"/>
    <x v="2"/>
    <x v="0"/>
    <n v="0"/>
    <x v="1"/>
    <x v="2"/>
    <x v="0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76"/>
    <x v="0"/>
    <x v="0"/>
  </r>
  <r>
    <n v="132"/>
    <x v="1"/>
    <x v="0"/>
  </r>
  <r>
    <n v="205"/>
    <x v="0"/>
    <x v="0"/>
  </r>
  <r>
    <n v="292"/>
    <x v="0"/>
    <x v="0"/>
  </r>
  <r>
    <n v="66"/>
    <x v="0"/>
    <x v="0"/>
  </r>
  <r>
    <n v="168"/>
    <x v="0"/>
    <x v="0"/>
  </r>
  <r>
    <n v="163"/>
    <x v="1"/>
    <x v="1"/>
  </r>
  <r>
    <n v="271"/>
    <x v="1"/>
    <x v="0"/>
  </r>
  <r>
    <n v="201"/>
    <x v="1"/>
    <x v="1"/>
  </r>
  <r>
    <n v="83"/>
    <x v="0"/>
    <x v="0"/>
  </r>
  <r>
    <n v="219"/>
    <x v="1"/>
    <x v="1"/>
  </r>
  <r>
    <n v="300"/>
    <x v="0"/>
    <x v="0"/>
  </r>
  <r>
    <n v="213"/>
    <x v="0"/>
    <x v="1"/>
  </r>
  <r>
    <n v="102"/>
    <x v="1"/>
    <x v="1"/>
  </r>
  <r>
    <n v="179"/>
    <x v="1"/>
    <x v="1"/>
  </r>
  <r>
    <n v="277"/>
    <x v="1"/>
    <x v="1"/>
  </r>
  <r>
    <n v="150"/>
    <x v="1"/>
    <x v="1"/>
  </r>
  <r>
    <n v="62"/>
    <x v="0"/>
    <x v="0"/>
  </r>
  <r>
    <n v="212"/>
    <x v="1"/>
    <x v="0"/>
  </r>
  <r>
    <n v="270"/>
    <x v="0"/>
    <x v="0"/>
  </r>
  <r>
    <n v="6"/>
    <x v="0"/>
    <x v="0"/>
  </r>
  <r>
    <n v="160"/>
    <x v="1"/>
    <x v="0"/>
  </r>
  <r>
    <n v="261"/>
    <x v="0"/>
    <x v="1"/>
  </r>
  <r>
    <n v="131"/>
    <x v="1"/>
    <x v="0"/>
  </r>
  <r>
    <n v="3"/>
    <x v="1"/>
    <x v="0"/>
  </r>
  <r>
    <n v="21"/>
    <x v="1"/>
    <x v="1"/>
  </r>
  <r>
    <n v="175"/>
    <x v="0"/>
    <x v="0"/>
  </r>
  <r>
    <n v="192"/>
    <x v="0"/>
    <x v="0"/>
  </r>
  <r>
    <n v="262"/>
    <x v="1"/>
    <x v="1"/>
  </r>
  <r>
    <n v="137"/>
    <x v="0"/>
    <x v="0"/>
  </r>
  <r>
    <n v="34"/>
    <x v="1"/>
    <x v="1"/>
  </r>
  <r>
    <n v="124"/>
    <x v="0"/>
    <x v="1"/>
  </r>
  <r>
    <n v="31"/>
    <x v="0"/>
    <x v="0"/>
  </r>
  <r>
    <n v="302"/>
    <x v="1"/>
    <x v="1"/>
  </r>
  <r>
    <n v="263"/>
    <x v="1"/>
    <x v="1"/>
  </r>
  <r>
    <n v="256"/>
    <x v="1"/>
    <x v="1"/>
  </r>
  <r>
    <n v="33"/>
    <x v="1"/>
    <x v="1"/>
  </r>
  <r>
    <n v="67"/>
    <x v="1"/>
    <x v="0"/>
  </r>
  <r>
    <n v="27"/>
    <x v="1"/>
    <x v="0"/>
  </r>
  <r>
    <n v="100"/>
    <x v="1"/>
    <x v="1"/>
  </r>
  <r>
    <n v="187"/>
    <x v="0"/>
    <x v="0"/>
  </r>
  <r>
    <n v="204"/>
    <x v="1"/>
    <x v="1"/>
  </r>
  <r>
    <n v="64"/>
    <x v="0"/>
    <x v="0"/>
  </r>
  <r>
    <n v="268"/>
    <x v="0"/>
    <x v="1"/>
  </r>
  <r>
    <n v="211"/>
    <x v="0"/>
    <x v="0"/>
  </r>
  <r>
    <n v="155"/>
    <x v="0"/>
    <x v="0"/>
  </r>
  <r>
    <n v="284"/>
    <x v="0"/>
    <x v="1"/>
  </r>
  <r>
    <n v="115"/>
    <x v="1"/>
    <x v="0"/>
  </r>
  <r>
    <n v="56"/>
    <x v="0"/>
    <x v="1"/>
  </r>
  <r>
    <n v="89"/>
    <x v="1"/>
    <x v="1"/>
  </r>
  <r>
    <n v="126"/>
    <x v="0"/>
    <x v="0"/>
  </r>
  <r>
    <n v="166"/>
    <x v="1"/>
    <x v="1"/>
  </r>
  <r>
    <n v="94"/>
    <x v="1"/>
    <x v="1"/>
  </r>
  <r>
    <n v="236"/>
    <x v="0"/>
    <x v="0"/>
  </r>
  <r>
    <n v="244"/>
    <x v="1"/>
    <x v="1"/>
  </r>
  <r>
    <n v="233"/>
    <x v="1"/>
    <x v="1"/>
  </r>
  <r>
    <n v="134"/>
    <x v="1"/>
    <x v="1"/>
  </r>
  <r>
    <n v="243"/>
    <x v="0"/>
    <x v="0"/>
  </r>
  <r>
    <n v="87"/>
    <x v="1"/>
    <x v="1"/>
  </r>
  <r>
    <n v="282"/>
    <x v="0"/>
    <x v="0"/>
  </r>
  <r>
    <n v="5"/>
    <x v="1"/>
    <x v="1"/>
  </r>
  <r>
    <n v="114"/>
    <x v="0"/>
    <x v="1"/>
  </r>
  <r>
    <n v="157"/>
    <x v="0"/>
    <x v="1"/>
  </r>
  <r>
    <n v="296"/>
    <x v="0"/>
    <x v="0"/>
  </r>
  <r>
    <n v="186"/>
    <x v="1"/>
    <x v="0"/>
  </r>
  <r>
    <n v="297"/>
    <x v="0"/>
    <x v="1"/>
  </r>
  <r>
    <n v="291"/>
    <x v="1"/>
    <x v="1"/>
  </r>
  <r>
    <n v="231"/>
    <x v="0"/>
    <x v="0"/>
  </r>
  <r>
    <n v="285"/>
    <x v="0"/>
    <x v="0"/>
  </r>
  <r>
    <n v="185"/>
    <x v="1"/>
    <x v="1"/>
  </r>
  <r>
    <n v="113"/>
    <x v="0"/>
    <x v="0"/>
  </r>
  <r>
    <n v="101"/>
    <x v="1"/>
    <x v="1"/>
  </r>
  <r>
    <n v="20"/>
    <x v="1"/>
    <x v="0"/>
  </r>
  <r>
    <n v="264"/>
    <x v="0"/>
    <x v="0"/>
  </r>
  <r>
    <n v="197"/>
    <x v="1"/>
    <x v="1"/>
  </r>
  <r>
    <n v="234"/>
    <x v="1"/>
    <x v="1"/>
  </r>
  <r>
    <n v="287"/>
    <x v="1"/>
    <x v="0"/>
  </r>
  <r>
    <n v="172"/>
    <x v="0"/>
    <x v="1"/>
  </r>
  <r>
    <n v="69"/>
    <x v="0"/>
    <x v="0"/>
  </r>
  <r>
    <n v="23"/>
    <x v="0"/>
    <x v="0"/>
  </r>
  <r>
    <n v="14"/>
    <x v="1"/>
    <x v="1"/>
  </r>
  <r>
    <n v="92"/>
    <x v="1"/>
    <x v="0"/>
  </r>
  <r>
    <n v="235"/>
    <x v="0"/>
    <x v="0"/>
  </r>
  <r>
    <n v="162"/>
    <x v="1"/>
    <x v="0"/>
  </r>
  <r>
    <n v="281"/>
    <x v="1"/>
    <x v="1"/>
  </r>
  <r>
    <n v="286"/>
    <x v="0"/>
    <x v="0"/>
  </r>
  <r>
    <n v="104"/>
    <x v="0"/>
    <x v="0"/>
  </r>
  <r>
    <n v="269"/>
    <x v="1"/>
    <x v="0"/>
  </r>
  <r>
    <n v="165"/>
    <x v="1"/>
    <x v="1"/>
  </r>
  <r>
    <n v="196"/>
    <x v="1"/>
    <x v="0"/>
  </r>
  <r>
    <n v="253"/>
    <x v="1"/>
    <x v="1"/>
  </r>
  <r>
    <m/>
    <x v="2"/>
    <x v="2"/>
  </r>
  <r>
    <m/>
    <x v="2"/>
    <x v="2"/>
  </r>
  <r>
    <m/>
    <x v="2"/>
    <x v="2"/>
  </r>
  <r>
    <m/>
    <x v="2"/>
    <x v="2"/>
  </r>
  <r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69:D76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m="1" x="5"/>
        <item m="1" x="7"/>
        <item m="1" x="9"/>
        <item m="1" x="10"/>
        <item m="1" x="6"/>
        <item m="1" x="8"/>
        <item m="1" x="12"/>
        <item m="1" x="13"/>
        <item m="1" x="11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0"/>
    </i>
    <i>
      <x v="11"/>
    </i>
    <i>
      <x v="12"/>
    </i>
    <i>
      <x v="1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holestrol " fld="0" subtotal="count" baseField="8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8:D44" firstHeaderRow="1" firstDataRow="2" firstDataCol="1"/>
  <pivotFields count="20">
    <pivotField dataField="1" showAll="0"/>
    <pivotField showAll="0"/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hest_pain " fld="0" subtotal="count" baseField="4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98:D203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Thalassemia" fld="0" subtotal="count" baseField="18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6:D90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fasting_blood_sugar 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9:D23" firstHeaderRow="1" firstDataRow="2" firstDataCol="1"/>
  <pivotFields count="20">
    <pivotField dataField="1"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Gender " fld="0" subtotal="count" baseField="3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32:D136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induced_agina" fld="0" subtotal="count" baseField="13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81:D18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Major_Vessels" fld="0" subtotal="count" baseField="17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64:D16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lope_ST" fld="0" subtotal="count" baseField="16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97:D10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Resting_ECG" fld="0" subtotal="count" baseField="1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47:D153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m="1" x="11"/>
        <item m="1" x="9"/>
        <item m="1" x="4"/>
        <item m="1" x="8"/>
        <item m="1" x="7"/>
        <item m="1" x="6"/>
        <item m="1" x="10"/>
        <item m="1" x="5"/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6"/>
  </rowFields>
  <rowItems count="5"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Depression_ST" fld="0" subtotal="count" baseField="15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:D9" firstHeaderRow="1" firstDataRow="2" firstDataCol="1"/>
  <pivotFields count="21">
    <pivotField dataField="1" showAll="0"/>
    <pivotField showAll="0"/>
    <pivotField axis="axisRow" showAll="0" sortType="ascending">
      <items count="9">
        <item x="4"/>
        <item x="2"/>
        <item m="1" x="6"/>
        <item x="3"/>
        <item m="1" x="7"/>
        <item x="0"/>
        <item m="1"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3"/>
    </i>
    <i>
      <x v="5"/>
    </i>
    <i>
      <x v="7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ge " fld="0" subtotal="count" baseField="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54:D60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m="1" x="8"/>
        <item m="1" x="5"/>
        <item m="1" x="7"/>
        <item m="1" x="6"/>
        <item h="1"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6"/>
  </rowFields>
  <rowItems count="5">
    <i>
      <x v="5"/>
    </i>
    <i>
      <x v="6"/>
    </i>
    <i>
      <x v="7"/>
    </i>
    <i>
      <x v="8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Resting_bp " fld="0" subtotal="count" baseField="6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14:D121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Max_Heart_ rate " fld="0" subtotal="count" baseField="12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19B97-7F0F-4BCC-83DF-F622AA3DDDA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edicted Value" colHeaderCaption="Actual Values">
  <location ref="F3:I7" firstHeaderRow="1" firstDataRow="2" firstDataCol="1"/>
  <pivotFields count="3">
    <pivotField dataField="1" showAll="0"/>
    <pivotField axis="axisCol" showAll="0" sortType="descending">
      <items count="4">
        <item x="2"/>
        <item x="0"/>
        <item x="1"/>
        <item t="default"/>
      </items>
    </pivotField>
    <pivotField axis="axisRow" showAll="0" sortType="descending">
      <items count="4">
        <item h="1" x="2"/>
        <item x="0"/>
        <item x="1"/>
        <item t="default"/>
      </items>
    </pivotField>
  </pivotFields>
  <rowFields count="1">
    <field x="2"/>
  </rowFields>
  <rowItems count="3">
    <i>
      <x v="1"/>
    </i>
    <i>
      <x v="2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Confusion Matrix" fld="0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1B273-B36E-4343-A2AB-7943C1F60FC3}" name="Table1" displayName="Table1" ref="A1:AH304" totalsRowShown="0" headerRowDxfId="4">
  <autoFilter ref="A1:AH304" xr:uid="{DAE9DAB7-30D3-4AA3-93DA-1D01EFAB096F}"/>
  <tableColumns count="34">
    <tableColumn id="1" xr3:uid="{69DF60A6-0847-4F7E-A6D7-C6B6AC0B2EB6}" name="customerid"/>
    <tableColumn id="2" xr3:uid="{DE178873-BF50-473D-8935-6EF00DBE1275}" name="age"/>
    <tableColumn id="3" xr3:uid="{E4D588BD-3EAB-4033-82BE-2EBC3871D418}" name="age_bin">
      <calculatedColumnFormula>IF(B2&lt;37,"27-36",IF(B2&lt;47,"37-46",IF(B2&lt;57,"47-56",IF(B2&lt;67,"57-66","66+"))))</calculatedColumnFormula>
    </tableColumn>
    <tableColumn id="4" xr3:uid="{D18DA0E1-13DB-4768-8B85-43AB2C3240C1}" name="age_woe">
      <calculatedColumnFormula>IF(C2="27-36",-0.75,IF(C2="37-46",-0.83,IF(C2="47-56",-0.28,IF(C2="57-66",0.64,0.17))))</calculatedColumnFormula>
    </tableColumn>
    <tableColumn id="5" xr3:uid="{9829070A-F93A-4C3A-945A-C807C0EABA6A}" name="Gender"/>
    <tableColumn id="6" xr3:uid="{6BAC286E-7AF6-4BE4-A0BE-B06EDFCA751D}" name="Gender_woe">
      <calculatedColumnFormula>IF(E2=1,0.38,-0.89)</calculatedColumnFormula>
    </tableColumn>
    <tableColumn id="7" xr3:uid="{095E914F-AF8F-4219-8CBD-FFA1FE718E6A}" name="Chest_pain"/>
    <tableColumn id="8" xr3:uid="{47E3A157-E447-4F44-915D-156F2141AFA8}" name="Chest_woe">
      <calculatedColumnFormula>IF(G2=0,-0.66,IF(G2=1,-1.35,IF(G2=2,-1.16,1.16)))</calculatedColumnFormula>
    </tableColumn>
    <tableColumn id="9" xr3:uid="{098C709C-B2EB-49A6-85A4-EDC258A9BA77}" name="resting_BP"/>
    <tableColumn id="10" xr3:uid="{C16479B1-8846-4E3F-88E4-DD2285EC2E0A}" name="Resting_bp_bin" dataDxfId="3">
      <calculatedColumnFormula>IF(I2&lt;=120,"94-120",IF(I2&lt;=150,"121-150",IF(I2&lt;180,"151-180","180+")))</calculatedColumnFormula>
    </tableColumn>
    <tableColumn id="11" xr3:uid="{6C0016B8-5F4E-41F5-B452-A20621844557}" name="Resting_woe" dataDxfId="2">
      <calculatedColumnFormula>IF(J2="121-150",0.04,IF(J2="151-180",0.57,IF(J2="94-120",-0.32,1.55)))</calculatedColumnFormula>
    </tableColumn>
    <tableColumn id="12" xr3:uid="{EB8D9F07-FE3A-46A9-9CCC-05BF0128F287}" name="Cholestrol"/>
    <tableColumn id="13" xr3:uid="{5E6B16B1-C9A9-431A-BBC9-4D2F254B5D5C}" name="Cholestrol_bin">
      <calculatedColumnFormula>IF(L2&lt;=200,"126-200",IF(L2&lt;=250,"201-250",IF(L2&lt;=300,"251-300",IF(L2&lt;=350,"351-400","400+"))))</calculatedColumnFormula>
    </tableColumn>
    <tableColumn id="14" xr3:uid="{5CA4ADD1-5E62-4CD3-968F-57E96C1FC560}" name="Cholestrol_woe">
      <calculatedColumnFormula>IF(M2="126-200",-0.16,IF(M2="201,250",-0.29,IF(M2="251-300",0.48,IF(M2="400+",-0.35,0.17))))</calculatedColumnFormula>
    </tableColumn>
    <tableColumn id="15" xr3:uid="{CDC97210-8E3D-4158-BB49-643CA42DD849}" name="Fasting_Blood_Sugar"/>
    <tableColumn id="16" xr3:uid="{5F4C9BB6-6F3E-4BD4-9C98-C835C424B82A}" name="Fasting_blood_sugar2">
      <calculatedColumnFormula>IF(O2=1,0.12,-0.02)</calculatedColumnFormula>
    </tableColumn>
    <tableColumn id="17" xr3:uid="{360516C2-1CD2-4AEA-A3C1-052E37D1C637}" name="Resting_Ecg_Result"/>
    <tableColumn id="18" xr3:uid="{208F4484-0A15-4D5D-AAD9-007CB18BFA2B}" name="Ecg_woe">
      <calculatedColumnFormula>IF(Q2=0,-0.36,IF(Q2=1,1.26,0.33))</calculatedColumnFormula>
    </tableColumn>
    <tableColumn id="19" xr3:uid="{DE410921-7D1E-453F-928B-8101A14BC6C2}" name="Max_Heart_Rate"/>
    <tableColumn id="20" xr3:uid="{D932053A-95D4-49B3-AD90-6CF4AB533E29}" name="Max_Heart_rate_bin">
      <calculatedColumnFormula>IF(S2&lt;=100,"71-100",IF(S2&lt;=130,"101-130",IF(S2&lt;=160,"131-160",IF(S2&lt;=190,"161-190","190+"))))</calculatedColumnFormula>
    </tableColumn>
    <tableColumn id="21" xr3:uid="{4EE00B67-F864-4451-AEFA-88CA4DF1DD2C}" name="Heart_rate_woe">
      <calculatedColumnFormula>IF(T2="101-130",1.15,IF(T2="131-160",0.2,IF(T2="161-190",-1.01,IF(T2="190",-0.93,2.11))))</calculatedColumnFormula>
    </tableColumn>
    <tableColumn id="22" xr3:uid="{C206DABD-CA9D-435C-954F-870E36B2DC4A}" name="Exercise_Induced_Angina"/>
    <tableColumn id="23" xr3:uid="{EFF534B6-A069-44EE-B792-523A28BC5C3C}" name="Induced_Angina_woe">
      <calculatedColumnFormula>IF(V2=0,-0.64,1.36)</calculatedColumnFormula>
    </tableColumn>
    <tableColumn id="24" xr3:uid="{07CD32EE-A7C4-4224-AE5D-4870F2EBE726}" name="St_Depression"/>
    <tableColumn id="25" xr3:uid="{F8F4545B-10EC-40A4-AD66-060AE89EAF26}" name="ST_Depression_bin">
      <calculatedColumnFormula>IF(X2&lt;=1.5,"0.1-1.5",IF(X2&lt;=2.8,"1.6-2.8",IF(X2&lt;=4,"2.9-4","4+")))</calculatedColumnFormula>
    </tableColumn>
    <tableColumn id="26" xr3:uid="{E41F17EE-4A04-4A06-9FC1-71603FDFD546}" name="Depression_woe">
      <calculatedColumnFormula>IF(Y2="1.6-2.8",0.99,IF(Y2="0.1-1.5",-0.48,IF(Y2="2.9-4",2.42,1.55)))</calculatedColumnFormula>
    </tableColumn>
    <tableColumn id="27" xr3:uid="{7CE19588-2A6D-4216-9E9B-BABF79D1B00D}" name="St_Slope"/>
    <tableColumn id="28" xr3:uid="{714183F9-7A9E-4069-9111-B0D413631A37}" name="St_slope_woe">
      <calculatedColumnFormula>IF(AA2=1,0.78,IF(AA2=0,-0.91,0.45))</calculatedColumnFormula>
    </tableColumn>
    <tableColumn id="29" xr3:uid="{F5E545E2-2C8E-4C96-8F04-4FA9505FD65F}" name="Num_Major_Vessels"/>
    <tableColumn id="30" xr3:uid="{371B9594-477C-4AB7-911F-6D24ABFC9F8A}" name="Major_vessels">
      <calculatedColumnFormula>IF(AC2=0,-0.87,IF(AC2=1,0.91,IF(AC2=2,1.65,1.9)))</calculatedColumnFormula>
    </tableColumn>
    <tableColumn id="31" xr3:uid="{BE0CEF1D-738C-48EF-9230-AE82FE6F58C8}" name="Thalassemia_Type"/>
    <tableColumn id="32" xr3:uid="{8E2B8308-366C-4030-857F-63321F0F42B9}" name="Thalassemia_woe">
      <calculatedColumnFormula>IF(AE2=2,0.86,IF(AE2=1,-1.06,1.32))</calculatedColumnFormula>
    </tableColumn>
    <tableColumn id="33" xr3:uid="{14A6C8C7-B5A8-4292-9D7D-EF20E3E7FD8E}" name="Heart_Disease"/>
    <tableColumn id="34" xr3:uid="{EA58DA6E-CFAF-4635-AB6B-B205BA903C54}" name="Disease">
      <calculatedColumnFormula>IF(AG2=1,"Yes","No")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A7FE4-3CC5-45CD-8470-16ED17113286}" name="Table3" displayName="Table3" ref="A1:J304" totalsRowShown="0" headerRowDxfId="1">
  <autoFilter ref="A1:J304" xr:uid="{C1083B1C-DB6E-41BA-B51C-F4DC1FE21732}"/>
  <tableColumns count="10">
    <tableColumn id="1" xr3:uid="{25EF1AF1-786C-481C-9B4D-79FE80598A04}" name="customerid"/>
    <tableColumn id="2" xr3:uid="{17C3CCF0-4C72-4F22-8F0F-1E11CDD05269}" name="age"/>
    <tableColumn id="3" xr3:uid="{12D2E503-A931-42D9-ADFD-B0E4138E18BA}" name="Gender"/>
    <tableColumn id="5" xr3:uid="{7BF51B4A-F6B3-4954-82DD-4108EEAE5340}" name="Resting"/>
    <tableColumn id="6" xr3:uid="{B6B0D74A-B112-429D-887A-0EA1179532B9}" name="Cholestrol"/>
    <tableColumn id="8" xr3:uid="{9A372823-81AD-42E3-AC33-A01B6C98E09A}" name="Ecg"/>
    <tableColumn id="9" xr3:uid="{C54E3E88-D91E-481B-ADD2-A8B9718FC1D2}" name="Heart_rate"/>
    <tableColumn id="4" xr3:uid="{C4F3C72A-D862-4B53-8F39-EFE204BB52D4}" name="Depression"/>
    <tableColumn id="7" xr3:uid="{5F3DEC81-6328-497F-A346-7D4C5ACB201E}" name="St_slope"/>
    <tableColumn id="15" xr3:uid="{58E966D1-65E3-4F99-BFEF-2A34BE065573}" name="Diseas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4"/>
  <sheetViews>
    <sheetView zoomScale="101" workbookViewId="0">
      <selection activeCell="AC5" sqref="AC5"/>
    </sheetView>
  </sheetViews>
  <sheetFormatPr defaultRowHeight="14.4"/>
  <cols>
    <col min="1" max="1" width="14.88671875" bestFit="1" customWidth="1"/>
    <col min="2" max="2" width="8.44140625" bestFit="1" customWidth="1"/>
    <col min="3" max="3" width="12.109375" bestFit="1" customWidth="1"/>
    <col min="4" max="4" width="13" bestFit="1" customWidth="1"/>
    <col min="5" max="5" width="11.5546875" bestFit="1" customWidth="1"/>
    <col min="6" max="6" width="16.109375" bestFit="1" customWidth="1"/>
    <col min="7" max="7" width="14.77734375" bestFit="1" customWidth="1"/>
    <col min="8" max="8" width="14.6640625" bestFit="1" customWidth="1"/>
    <col min="9" max="9" width="14.33203125" bestFit="1" customWidth="1"/>
    <col min="10" max="10" width="18.5546875" style="2" bestFit="1" customWidth="1"/>
    <col min="11" max="11" width="16.109375" style="2" bestFit="1" customWidth="1"/>
    <col min="12" max="12" width="13.88671875" bestFit="1" customWidth="1"/>
    <col min="13" max="13" width="17.6640625" bestFit="1" customWidth="1"/>
    <col min="14" max="14" width="18.5546875" bestFit="1" customWidth="1"/>
    <col min="15" max="15" width="23.21875" bestFit="1" customWidth="1"/>
    <col min="16" max="16" width="24" bestFit="1" customWidth="1"/>
    <col min="17" max="17" width="21.77734375" bestFit="1" customWidth="1"/>
    <col min="18" max="18" width="12.88671875" bestFit="1" customWidth="1"/>
    <col min="19" max="19" width="19.5546875" bestFit="1" customWidth="1"/>
    <col min="20" max="20" width="22.88671875" bestFit="1" customWidth="1"/>
    <col min="21" max="21" width="19" bestFit="1" customWidth="1"/>
    <col min="22" max="22" width="31" customWidth="1"/>
    <col min="23" max="23" width="24" bestFit="1" customWidth="1"/>
    <col min="24" max="24" width="17.33203125" bestFit="1" customWidth="1"/>
    <col min="25" max="25" width="21.44140625" bestFit="1" customWidth="1"/>
    <col min="26" max="26" width="19.33203125" bestFit="1" customWidth="1"/>
    <col min="27" max="27" width="12.77734375" bestFit="1" customWidth="1"/>
    <col min="28" max="28" width="17.109375" bestFit="1" customWidth="1"/>
    <col min="29" max="29" width="28.77734375" customWidth="1"/>
    <col min="30" max="30" width="22.109375" customWidth="1"/>
    <col min="31" max="31" width="20.88671875" bestFit="1" customWidth="1"/>
    <col min="32" max="32" width="20.33203125" bestFit="1" customWidth="1"/>
    <col min="33" max="33" width="17.21875" bestFit="1" customWidth="1"/>
    <col min="34" max="34" width="11.6640625" bestFit="1" customWidth="1"/>
  </cols>
  <sheetData>
    <row r="1" spans="1:34" s="1" customFormat="1">
      <c r="A1" s="1" t="s">
        <v>0</v>
      </c>
      <c r="B1" s="1" t="s">
        <v>1</v>
      </c>
      <c r="C1" s="1" t="s">
        <v>15</v>
      </c>
      <c r="D1" s="1" t="s">
        <v>58</v>
      </c>
      <c r="E1" s="1" t="s">
        <v>14</v>
      </c>
      <c r="F1" s="1" t="s">
        <v>62</v>
      </c>
      <c r="G1" s="1" t="s">
        <v>2</v>
      </c>
      <c r="H1" s="1" t="s">
        <v>63</v>
      </c>
      <c r="I1" s="1" t="s">
        <v>3</v>
      </c>
      <c r="J1" s="1" t="s">
        <v>16</v>
      </c>
      <c r="K1" s="1" t="s">
        <v>64</v>
      </c>
      <c r="L1" s="1" t="s">
        <v>4</v>
      </c>
      <c r="M1" s="1" t="s">
        <v>17</v>
      </c>
      <c r="N1" s="1" t="s">
        <v>65</v>
      </c>
      <c r="O1" s="1" t="s">
        <v>5</v>
      </c>
      <c r="P1" s="1" t="s">
        <v>91</v>
      </c>
      <c r="Q1" s="1" t="s">
        <v>6</v>
      </c>
      <c r="R1" s="1" t="s">
        <v>66</v>
      </c>
      <c r="S1" s="1" t="s">
        <v>7</v>
      </c>
      <c r="T1" s="1" t="s">
        <v>92</v>
      </c>
      <c r="U1" s="1" t="s">
        <v>67</v>
      </c>
      <c r="V1" s="1" t="s">
        <v>8</v>
      </c>
      <c r="W1" s="1" t="s">
        <v>68</v>
      </c>
      <c r="X1" s="1" t="s">
        <v>9</v>
      </c>
      <c r="Y1" s="1" t="s">
        <v>18</v>
      </c>
      <c r="Z1" s="1" t="s">
        <v>69</v>
      </c>
      <c r="AA1" s="1" t="s">
        <v>10</v>
      </c>
      <c r="AB1" s="1" t="s">
        <v>70</v>
      </c>
      <c r="AC1" s="1" t="s">
        <v>11</v>
      </c>
      <c r="AD1" s="1" t="s">
        <v>71</v>
      </c>
      <c r="AE1" s="1" t="s">
        <v>12</v>
      </c>
      <c r="AF1" s="1" t="s">
        <v>72</v>
      </c>
      <c r="AG1" s="1" t="s">
        <v>13</v>
      </c>
      <c r="AH1" s="1" t="s">
        <v>75</v>
      </c>
    </row>
    <row r="2" spans="1:34">
      <c r="A2">
        <v>1</v>
      </c>
      <c r="B2">
        <v>63</v>
      </c>
      <c r="C2" t="str">
        <f>IF(B2&lt;37,"27-36",IF(B2&lt;47,"37-46",IF(B2&lt;57,"47-56",IF(B2&lt;67,"57-66","66+"))))</f>
        <v>57-66</v>
      </c>
      <c r="D2">
        <f>IF(C2="27-36",-0.75,IF(C2="37-46",-0.83,IF(C2="47-56",-0.28,IF(C2="57-66",0.64,0.17))))</f>
        <v>0.64</v>
      </c>
      <c r="E2">
        <v>1</v>
      </c>
      <c r="F2">
        <f>IF(E2=1,0.38,-0.89)</f>
        <v>0.38</v>
      </c>
      <c r="G2">
        <v>0</v>
      </c>
      <c r="H2">
        <f>IF(G2=0,-0.66,IF(G2=1,-1.35,IF(G2=2,-1.16,1.16)))</f>
        <v>-0.66</v>
      </c>
      <c r="I2">
        <v>145</v>
      </c>
      <c r="J2" s="2" t="str">
        <f>IF(I2&lt;=120,"94-120",IF(I2&lt;=150,"121-150",IF(I2&lt;180,"151-180","180+")))</f>
        <v>121-150</v>
      </c>
      <c r="K2" s="2">
        <f>IF(J2="121-150",0.04,IF(J2="151-180",0.57,IF(J2="94-120",-0.32,1.55)))</f>
        <v>0.04</v>
      </c>
      <c r="L2">
        <v>233</v>
      </c>
      <c r="M2" t="str">
        <f>IF(L2&lt;=200,"126-200",IF(L2&lt;=250,"201-250",IF(L2&lt;=300,"251-300",IF(L2&lt;=350,"351-400","400+"))))</f>
        <v>201-250</v>
      </c>
      <c r="N2">
        <f>IF(M2="126-200",-0.16,IF(M2="201,250",-0.29,IF(M2="251-300",0.48,IF(M2="400+",-0.35,0.17))))</f>
        <v>0.17</v>
      </c>
      <c r="O2">
        <v>1</v>
      </c>
      <c r="P2">
        <f>IF(O2=1,0.12,-0.02)</f>
        <v>0.12</v>
      </c>
      <c r="Q2">
        <v>2</v>
      </c>
      <c r="R2">
        <f>IF(Q2=0,-0.36,IF(Q2=1,1.26,0.33))</f>
        <v>0.33</v>
      </c>
      <c r="S2">
        <v>150</v>
      </c>
      <c r="T2" t="str">
        <f>IF(S2&lt;=100,"71-100",IF(S2&lt;=130,"101-130",IF(S2&lt;=160,"131-160",IF(S2&lt;=190,"161-190","190+"))))</f>
        <v>131-160</v>
      </c>
      <c r="U2">
        <f>IF(T2="101-130",1.15,IF(T2="131-160",0.2,IF(T2="161-190",-1.01,IF(T2="190",-0.93,2.11))))</f>
        <v>0.2</v>
      </c>
      <c r="V2">
        <v>0</v>
      </c>
      <c r="W2">
        <f>IF(V2=0,-0.64,1.36)</f>
        <v>-0.64</v>
      </c>
      <c r="X2">
        <v>2.2999999999999998</v>
      </c>
      <c r="Y2" t="str">
        <f>IF(X2&lt;=1.5,"0.1-1.5",IF(X2&lt;=2.8,"1.6-2.8",IF(X2&lt;=4,"2.9-4","4+")))</f>
        <v>1.6-2.8</v>
      </c>
      <c r="Z2">
        <f>IF(Y2="1.6-2.8",0.99,IF(Y2="0.1-1.5",-0.48,IF(Y2="2.9-4",2.42,1.55)))</f>
        <v>0.99</v>
      </c>
      <c r="AA2">
        <v>2</v>
      </c>
      <c r="AB2">
        <f>IF(AA2=1,0.78,IF(AA2=0,-0.91,0.45))</f>
        <v>0.45</v>
      </c>
      <c r="AC2">
        <v>0</v>
      </c>
      <c r="AD2">
        <f>IF(AC2=0,-0.87,IF(AC2=1,0.91,IF(AC2=2,1.65,1.9)))</f>
        <v>-0.87</v>
      </c>
      <c r="AE2">
        <v>2</v>
      </c>
      <c r="AF2">
        <f>IF(AE2=2,0.86,IF(AE2=1,-1.06,1.32))</f>
        <v>0.86</v>
      </c>
      <c r="AG2">
        <v>0</v>
      </c>
      <c r="AH2" t="str">
        <f>IF(AG2=1,"Yes","No")</f>
        <v>No</v>
      </c>
    </row>
    <row r="3" spans="1:34">
      <c r="A3">
        <v>2</v>
      </c>
      <c r="B3">
        <v>67</v>
      </c>
      <c r="C3" t="str">
        <f t="shared" ref="C3:C66" si="0">IF(B3&lt;37,"27-36",IF(B3&lt;47,"37-46",IF(B3&lt;57,"47-56",IF(B3&lt;67,"57-66","66+"))))</f>
        <v>66+</v>
      </c>
      <c r="D3">
        <f t="shared" ref="D3:D66" si="1">IF(C3="27-36",-0.75,IF(C3="37-46",-0.83,IF(C3="47-56",-0.28,IF(C3="57-66",0.64,0.17))))</f>
        <v>0.17</v>
      </c>
      <c r="E3">
        <v>1</v>
      </c>
      <c r="F3">
        <f t="shared" ref="F3:F66" si="2">IF(E3=1,0.38,-0.89)</f>
        <v>0.38</v>
      </c>
      <c r="G3">
        <v>3</v>
      </c>
      <c r="H3">
        <f t="shared" ref="H3:H66" si="3">IF(G3=0,-0.66,IF(G3=1,-1.35,IF(G3=2,-1.16,1.16)))</f>
        <v>1.1599999999999999</v>
      </c>
      <c r="I3">
        <v>160</v>
      </c>
      <c r="J3" s="2" t="str">
        <f t="shared" ref="J3:J66" si="4">IF(I3&lt;=120,"94-120",IF(I3&lt;=150,"121-150",IF(I3&lt;180,"151-180","180+")))</f>
        <v>151-180</v>
      </c>
      <c r="K3" s="2">
        <f t="shared" ref="K3:K66" si="5">IF(J3="121-150",0.04,IF(J3="151-180",0.57,IF(J3="94-120",-0.32,1.55)))</f>
        <v>0.56999999999999995</v>
      </c>
      <c r="L3">
        <v>286</v>
      </c>
      <c r="M3" t="str">
        <f t="shared" ref="M3:M66" si="6">IF(L3&lt;=200,"126-200",IF(L3&lt;=250,"201-250",IF(L3&lt;=300,"251-300",IF(L3&lt;=350,"351-400","400+"))))</f>
        <v>251-300</v>
      </c>
      <c r="N3">
        <f t="shared" ref="N3:N66" si="7">IF(M3="126-200",-0.16,IF(M3="201,250",-0.29,IF(M3="251-300",0.48,IF(M3="400+",-0.35,0.17))))</f>
        <v>0.48</v>
      </c>
      <c r="O3">
        <v>0</v>
      </c>
      <c r="P3">
        <f t="shared" ref="P3:P66" si="8">IF(O3=1,0.12,-0.02)</f>
        <v>-0.02</v>
      </c>
      <c r="Q3">
        <v>2</v>
      </c>
      <c r="R3">
        <f t="shared" ref="R3:R66" si="9">IF(Q3=0,-0.36,IF(Q3=1,1.26,0.33))</f>
        <v>0.33</v>
      </c>
      <c r="S3">
        <v>108</v>
      </c>
      <c r="T3" t="str">
        <f t="shared" ref="T3:T66" si="10">IF(S3&lt;=100,"71-100",IF(S3&lt;=130,"101-130",IF(S3&lt;=160,"131-160",IF(S3&lt;=190,"161-190","190+"))))</f>
        <v>101-130</v>
      </c>
      <c r="U3">
        <f t="shared" ref="U3:U66" si="11">IF(T3="101-130",1.15,IF(T3="131-160",0.2,IF(T3="161-190",-1.01,IF(T3="190",-0.93,2.11))))</f>
        <v>1.1499999999999999</v>
      </c>
      <c r="V3">
        <v>1</v>
      </c>
      <c r="W3">
        <f t="shared" ref="W3:W66" si="12">IF(V3=0,-0.64,1.36)</f>
        <v>1.36</v>
      </c>
      <c r="X3">
        <v>1.5</v>
      </c>
      <c r="Y3" t="str">
        <f t="shared" ref="Y3:Y66" si="13">IF(X3&lt;=1.5,"0.1-1.5",IF(X3&lt;=2.8,"1.6-2.8",IF(X3&lt;=4,"2.9-4","4+")))</f>
        <v>0.1-1.5</v>
      </c>
      <c r="Z3">
        <f t="shared" ref="Z3:Z66" si="14">IF(Y3="1.6-2.8",0.99,IF(Y3="0.1-1.5",-0.48,IF(Y3="2.9-4",2.42,1.55)))</f>
        <v>-0.48</v>
      </c>
      <c r="AA3">
        <v>1</v>
      </c>
      <c r="AB3">
        <f t="shared" ref="AB3:AB66" si="15">IF(AA3=1,0.78,IF(AA3=0,-0.91,0.45))</f>
        <v>0.78</v>
      </c>
      <c r="AC3">
        <v>3</v>
      </c>
      <c r="AD3">
        <f t="shared" ref="AD3:AD66" si="16">IF(AC3=0,-0.87,IF(AC3=1,0.91,IF(AC3=2,1.65,1.9)))</f>
        <v>1.9</v>
      </c>
      <c r="AE3">
        <v>1</v>
      </c>
      <c r="AF3">
        <f t="shared" ref="AF3:AF66" si="17">IF(AE3=2,0.86,IF(AE3=1,-1.06,1.32))</f>
        <v>-1.06</v>
      </c>
      <c r="AG3">
        <v>1</v>
      </c>
      <c r="AH3" t="str">
        <f t="shared" ref="AH3:AH66" si="18">IF(AG3=1,"Yes","No")</f>
        <v>Yes</v>
      </c>
    </row>
    <row r="4" spans="1:34">
      <c r="A4">
        <v>3</v>
      </c>
      <c r="B4">
        <v>67</v>
      </c>
      <c r="C4" t="str">
        <f t="shared" si="0"/>
        <v>66+</v>
      </c>
      <c r="D4">
        <f t="shared" si="1"/>
        <v>0.17</v>
      </c>
      <c r="E4">
        <v>1</v>
      </c>
      <c r="F4">
        <f t="shared" si="2"/>
        <v>0.38</v>
      </c>
      <c r="G4">
        <v>3</v>
      </c>
      <c r="H4">
        <f t="shared" si="3"/>
        <v>1.1599999999999999</v>
      </c>
      <c r="I4">
        <v>120</v>
      </c>
      <c r="J4" s="2" t="str">
        <f t="shared" si="4"/>
        <v>94-120</v>
      </c>
      <c r="K4" s="2">
        <f t="shared" si="5"/>
        <v>-0.32</v>
      </c>
      <c r="L4">
        <v>229</v>
      </c>
      <c r="M4" t="str">
        <f t="shared" si="6"/>
        <v>201-250</v>
      </c>
      <c r="N4">
        <f t="shared" si="7"/>
        <v>0.17</v>
      </c>
      <c r="O4">
        <v>0</v>
      </c>
      <c r="P4">
        <f t="shared" si="8"/>
        <v>-0.02</v>
      </c>
      <c r="Q4">
        <v>2</v>
      </c>
      <c r="R4">
        <f t="shared" si="9"/>
        <v>0.33</v>
      </c>
      <c r="S4">
        <v>129</v>
      </c>
      <c r="T4" t="str">
        <f t="shared" si="10"/>
        <v>101-130</v>
      </c>
      <c r="U4">
        <f t="shared" si="11"/>
        <v>1.1499999999999999</v>
      </c>
      <c r="V4">
        <v>1</v>
      </c>
      <c r="W4">
        <f t="shared" si="12"/>
        <v>1.36</v>
      </c>
      <c r="X4">
        <v>2.6</v>
      </c>
      <c r="Y4" t="str">
        <f t="shared" si="13"/>
        <v>1.6-2.8</v>
      </c>
      <c r="Z4">
        <f t="shared" si="14"/>
        <v>0.99</v>
      </c>
      <c r="AA4">
        <v>1</v>
      </c>
      <c r="AB4">
        <f t="shared" si="15"/>
        <v>0.78</v>
      </c>
      <c r="AC4">
        <v>2</v>
      </c>
      <c r="AD4">
        <f t="shared" si="16"/>
        <v>1.65</v>
      </c>
      <c r="AE4">
        <v>3</v>
      </c>
      <c r="AF4">
        <f t="shared" si="17"/>
        <v>1.32</v>
      </c>
      <c r="AG4">
        <v>1</v>
      </c>
      <c r="AH4" t="str">
        <f t="shared" si="18"/>
        <v>Yes</v>
      </c>
    </row>
    <row r="5" spans="1:34">
      <c r="A5">
        <v>4</v>
      </c>
      <c r="B5">
        <v>37</v>
      </c>
      <c r="C5" t="str">
        <f t="shared" si="0"/>
        <v>37-46</v>
      </c>
      <c r="D5">
        <f t="shared" si="1"/>
        <v>-0.83</v>
      </c>
      <c r="E5">
        <v>1</v>
      </c>
      <c r="F5">
        <f t="shared" si="2"/>
        <v>0.38</v>
      </c>
      <c r="G5">
        <v>2</v>
      </c>
      <c r="H5">
        <f t="shared" si="3"/>
        <v>-1.1599999999999999</v>
      </c>
      <c r="I5">
        <v>130</v>
      </c>
      <c r="J5" s="2" t="str">
        <f t="shared" si="4"/>
        <v>121-150</v>
      </c>
      <c r="K5" s="2">
        <f t="shared" si="5"/>
        <v>0.04</v>
      </c>
      <c r="L5">
        <v>250</v>
      </c>
      <c r="M5" t="str">
        <f t="shared" si="6"/>
        <v>201-250</v>
      </c>
      <c r="N5">
        <f t="shared" si="7"/>
        <v>0.17</v>
      </c>
      <c r="O5">
        <v>0</v>
      </c>
      <c r="P5">
        <f t="shared" si="8"/>
        <v>-0.02</v>
      </c>
      <c r="Q5">
        <v>0</v>
      </c>
      <c r="R5">
        <f t="shared" si="9"/>
        <v>-0.36</v>
      </c>
      <c r="S5">
        <v>187</v>
      </c>
      <c r="T5" t="str">
        <f t="shared" si="10"/>
        <v>161-190</v>
      </c>
      <c r="U5">
        <f t="shared" si="11"/>
        <v>-1.01</v>
      </c>
      <c r="V5">
        <v>0</v>
      </c>
      <c r="W5">
        <f t="shared" si="12"/>
        <v>-0.64</v>
      </c>
      <c r="X5">
        <v>3.5</v>
      </c>
      <c r="Y5" t="str">
        <f t="shared" si="13"/>
        <v>2.9-4</v>
      </c>
      <c r="Z5">
        <f t="shared" si="14"/>
        <v>2.42</v>
      </c>
      <c r="AA5">
        <v>2</v>
      </c>
      <c r="AB5">
        <f t="shared" si="15"/>
        <v>0.45</v>
      </c>
      <c r="AC5">
        <v>0</v>
      </c>
      <c r="AD5">
        <f t="shared" si="16"/>
        <v>-0.87</v>
      </c>
      <c r="AE5">
        <v>1</v>
      </c>
      <c r="AF5">
        <f t="shared" si="17"/>
        <v>-1.06</v>
      </c>
      <c r="AG5">
        <v>0</v>
      </c>
      <c r="AH5" t="str">
        <f t="shared" si="18"/>
        <v>No</v>
      </c>
    </row>
    <row r="6" spans="1:34">
      <c r="A6">
        <v>5</v>
      </c>
      <c r="B6">
        <v>41</v>
      </c>
      <c r="C6" t="str">
        <f t="shared" si="0"/>
        <v>37-46</v>
      </c>
      <c r="D6">
        <f t="shared" si="1"/>
        <v>-0.83</v>
      </c>
      <c r="E6">
        <v>0</v>
      </c>
      <c r="F6">
        <f t="shared" si="2"/>
        <v>-0.89</v>
      </c>
      <c r="G6">
        <v>1</v>
      </c>
      <c r="H6">
        <f t="shared" si="3"/>
        <v>-1.35</v>
      </c>
      <c r="I6">
        <v>130</v>
      </c>
      <c r="J6" s="2" t="str">
        <f t="shared" si="4"/>
        <v>121-150</v>
      </c>
      <c r="K6" s="2">
        <f t="shared" si="5"/>
        <v>0.04</v>
      </c>
      <c r="L6">
        <v>204</v>
      </c>
      <c r="M6" t="str">
        <f t="shared" si="6"/>
        <v>201-250</v>
      </c>
      <c r="N6">
        <f t="shared" si="7"/>
        <v>0.17</v>
      </c>
      <c r="O6">
        <v>0</v>
      </c>
      <c r="P6">
        <f t="shared" si="8"/>
        <v>-0.02</v>
      </c>
      <c r="Q6">
        <v>2</v>
      </c>
      <c r="R6">
        <f t="shared" si="9"/>
        <v>0.33</v>
      </c>
      <c r="S6">
        <v>172</v>
      </c>
      <c r="T6" t="str">
        <f t="shared" si="10"/>
        <v>161-190</v>
      </c>
      <c r="U6">
        <f t="shared" si="11"/>
        <v>-1.01</v>
      </c>
      <c r="V6">
        <v>0</v>
      </c>
      <c r="W6">
        <f t="shared" si="12"/>
        <v>-0.64</v>
      </c>
      <c r="X6">
        <v>1.4</v>
      </c>
      <c r="Y6" t="str">
        <f t="shared" si="13"/>
        <v>0.1-1.5</v>
      </c>
      <c r="Z6">
        <f t="shared" si="14"/>
        <v>-0.48</v>
      </c>
      <c r="AA6">
        <v>0</v>
      </c>
      <c r="AB6">
        <f t="shared" si="15"/>
        <v>-0.91</v>
      </c>
      <c r="AC6">
        <v>0</v>
      </c>
      <c r="AD6">
        <f t="shared" si="16"/>
        <v>-0.87</v>
      </c>
      <c r="AE6">
        <v>1</v>
      </c>
      <c r="AF6">
        <f t="shared" si="17"/>
        <v>-1.06</v>
      </c>
      <c r="AG6">
        <v>0</v>
      </c>
      <c r="AH6" t="str">
        <f t="shared" si="18"/>
        <v>No</v>
      </c>
    </row>
    <row r="7" spans="1:34">
      <c r="A7">
        <v>6</v>
      </c>
      <c r="B7">
        <v>56</v>
      </c>
      <c r="C7" t="str">
        <f t="shared" si="0"/>
        <v>47-56</v>
      </c>
      <c r="D7">
        <f t="shared" si="1"/>
        <v>-0.28000000000000003</v>
      </c>
      <c r="E7">
        <v>1</v>
      </c>
      <c r="F7">
        <f t="shared" si="2"/>
        <v>0.38</v>
      </c>
      <c r="G7">
        <v>1</v>
      </c>
      <c r="H7">
        <f t="shared" si="3"/>
        <v>-1.35</v>
      </c>
      <c r="I7">
        <v>120</v>
      </c>
      <c r="J7" s="2" t="str">
        <f t="shared" si="4"/>
        <v>94-120</v>
      </c>
      <c r="K7" s="2">
        <f t="shared" si="5"/>
        <v>-0.32</v>
      </c>
      <c r="L7">
        <v>236</v>
      </c>
      <c r="M7" t="str">
        <f t="shared" si="6"/>
        <v>201-250</v>
      </c>
      <c r="N7">
        <f t="shared" si="7"/>
        <v>0.17</v>
      </c>
      <c r="O7">
        <v>0</v>
      </c>
      <c r="P7">
        <f t="shared" si="8"/>
        <v>-0.02</v>
      </c>
      <c r="Q7">
        <v>0</v>
      </c>
      <c r="R7">
        <f t="shared" si="9"/>
        <v>-0.36</v>
      </c>
      <c r="S7">
        <v>178</v>
      </c>
      <c r="T7" t="str">
        <f t="shared" si="10"/>
        <v>161-190</v>
      </c>
      <c r="U7">
        <f t="shared" si="11"/>
        <v>-1.01</v>
      </c>
      <c r="V7">
        <v>0</v>
      </c>
      <c r="W7">
        <f t="shared" si="12"/>
        <v>-0.64</v>
      </c>
      <c r="X7">
        <v>0.8</v>
      </c>
      <c r="Y7" t="str">
        <f t="shared" si="13"/>
        <v>0.1-1.5</v>
      </c>
      <c r="Z7">
        <f t="shared" si="14"/>
        <v>-0.48</v>
      </c>
      <c r="AA7">
        <v>0</v>
      </c>
      <c r="AB7">
        <f t="shared" si="15"/>
        <v>-0.91</v>
      </c>
      <c r="AC7">
        <v>0</v>
      </c>
      <c r="AD7">
        <f t="shared" si="16"/>
        <v>-0.87</v>
      </c>
      <c r="AE7">
        <v>1</v>
      </c>
      <c r="AF7">
        <f t="shared" si="17"/>
        <v>-1.06</v>
      </c>
      <c r="AG7">
        <v>0</v>
      </c>
      <c r="AH7" t="str">
        <f t="shared" si="18"/>
        <v>No</v>
      </c>
    </row>
    <row r="8" spans="1:34">
      <c r="A8">
        <v>7</v>
      </c>
      <c r="B8">
        <v>62</v>
      </c>
      <c r="C8" t="str">
        <f t="shared" si="0"/>
        <v>57-66</v>
      </c>
      <c r="D8">
        <f t="shared" si="1"/>
        <v>0.64</v>
      </c>
      <c r="E8">
        <v>0</v>
      </c>
      <c r="F8">
        <f t="shared" si="2"/>
        <v>-0.89</v>
      </c>
      <c r="G8">
        <v>3</v>
      </c>
      <c r="H8">
        <f t="shared" si="3"/>
        <v>1.1599999999999999</v>
      </c>
      <c r="I8">
        <v>140</v>
      </c>
      <c r="J8" s="2" t="str">
        <f t="shared" si="4"/>
        <v>121-150</v>
      </c>
      <c r="K8" s="2">
        <f t="shared" si="5"/>
        <v>0.04</v>
      </c>
      <c r="L8">
        <v>268</v>
      </c>
      <c r="M8" t="str">
        <f t="shared" si="6"/>
        <v>251-300</v>
      </c>
      <c r="N8">
        <f t="shared" si="7"/>
        <v>0.48</v>
      </c>
      <c r="O8">
        <v>0</v>
      </c>
      <c r="P8">
        <f t="shared" si="8"/>
        <v>-0.02</v>
      </c>
      <c r="Q8">
        <v>2</v>
      </c>
      <c r="R8">
        <f t="shared" si="9"/>
        <v>0.33</v>
      </c>
      <c r="S8">
        <v>160</v>
      </c>
      <c r="T8" t="str">
        <f t="shared" si="10"/>
        <v>131-160</v>
      </c>
      <c r="U8">
        <f t="shared" si="11"/>
        <v>0.2</v>
      </c>
      <c r="V8">
        <v>0</v>
      </c>
      <c r="W8">
        <f t="shared" si="12"/>
        <v>-0.64</v>
      </c>
      <c r="X8">
        <v>3.6</v>
      </c>
      <c r="Y8" t="str">
        <f t="shared" si="13"/>
        <v>2.9-4</v>
      </c>
      <c r="Z8">
        <f t="shared" si="14"/>
        <v>2.42</v>
      </c>
      <c r="AA8">
        <v>2</v>
      </c>
      <c r="AB8">
        <f t="shared" si="15"/>
        <v>0.45</v>
      </c>
      <c r="AC8">
        <v>2</v>
      </c>
      <c r="AD8">
        <f t="shared" si="16"/>
        <v>1.65</v>
      </c>
      <c r="AE8">
        <v>1</v>
      </c>
      <c r="AF8">
        <f t="shared" si="17"/>
        <v>-1.06</v>
      </c>
      <c r="AG8">
        <v>1</v>
      </c>
      <c r="AH8" t="str">
        <f t="shared" si="18"/>
        <v>Yes</v>
      </c>
    </row>
    <row r="9" spans="1:34">
      <c r="A9">
        <v>8</v>
      </c>
      <c r="B9">
        <v>57</v>
      </c>
      <c r="C9" t="str">
        <f t="shared" si="0"/>
        <v>57-66</v>
      </c>
      <c r="D9">
        <f t="shared" si="1"/>
        <v>0.64</v>
      </c>
      <c r="E9">
        <v>0</v>
      </c>
      <c r="F9">
        <f t="shared" si="2"/>
        <v>-0.89</v>
      </c>
      <c r="G9">
        <v>3</v>
      </c>
      <c r="H9">
        <f t="shared" si="3"/>
        <v>1.1599999999999999</v>
      </c>
      <c r="I9">
        <v>120</v>
      </c>
      <c r="J9" s="2" t="str">
        <f t="shared" si="4"/>
        <v>94-120</v>
      </c>
      <c r="K9" s="2">
        <f t="shared" si="5"/>
        <v>-0.32</v>
      </c>
      <c r="L9">
        <v>354</v>
      </c>
      <c r="M9" t="str">
        <f t="shared" si="6"/>
        <v>400+</v>
      </c>
      <c r="N9">
        <f t="shared" si="7"/>
        <v>-0.35</v>
      </c>
      <c r="O9">
        <v>0</v>
      </c>
      <c r="P9">
        <f t="shared" si="8"/>
        <v>-0.02</v>
      </c>
      <c r="Q9">
        <v>0</v>
      </c>
      <c r="R9">
        <f t="shared" si="9"/>
        <v>-0.36</v>
      </c>
      <c r="S9">
        <v>163</v>
      </c>
      <c r="T9" t="str">
        <f t="shared" si="10"/>
        <v>161-190</v>
      </c>
      <c r="U9">
        <f t="shared" si="11"/>
        <v>-1.01</v>
      </c>
      <c r="V9">
        <v>1</v>
      </c>
      <c r="W9">
        <f t="shared" si="12"/>
        <v>1.36</v>
      </c>
      <c r="X9">
        <v>0.6</v>
      </c>
      <c r="Y9" t="str">
        <f t="shared" si="13"/>
        <v>0.1-1.5</v>
      </c>
      <c r="Z9">
        <f t="shared" si="14"/>
        <v>-0.48</v>
      </c>
      <c r="AA9">
        <v>0</v>
      </c>
      <c r="AB9">
        <f t="shared" si="15"/>
        <v>-0.91</v>
      </c>
      <c r="AC9">
        <v>0</v>
      </c>
      <c r="AD9">
        <f t="shared" si="16"/>
        <v>-0.87</v>
      </c>
      <c r="AE9">
        <v>1</v>
      </c>
      <c r="AF9">
        <f t="shared" si="17"/>
        <v>-1.06</v>
      </c>
      <c r="AG9">
        <v>0</v>
      </c>
      <c r="AH9" t="str">
        <f t="shared" si="18"/>
        <v>No</v>
      </c>
    </row>
    <row r="10" spans="1:34">
      <c r="A10">
        <v>9</v>
      </c>
      <c r="B10">
        <v>63</v>
      </c>
      <c r="C10" t="str">
        <f t="shared" si="0"/>
        <v>57-66</v>
      </c>
      <c r="D10">
        <f t="shared" si="1"/>
        <v>0.64</v>
      </c>
      <c r="E10">
        <v>1</v>
      </c>
      <c r="F10">
        <f t="shared" si="2"/>
        <v>0.38</v>
      </c>
      <c r="G10">
        <v>3</v>
      </c>
      <c r="H10">
        <f t="shared" si="3"/>
        <v>1.1599999999999999</v>
      </c>
      <c r="I10">
        <v>130</v>
      </c>
      <c r="J10" s="2" t="str">
        <f t="shared" si="4"/>
        <v>121-150</v>
      </c>
      <c r="K10" s="2">
        <f t="shared" si="5"/>
        <v>0.04</v>
      </c>
      <c r="L10">
        <v>254</v>
      </c>
      <c r="M10" t="str">
        <f t="shared" si="6"/>
        <v>251-300</v>
      </c>
      <c r="N10">
        <f t="shared" si="7"/>
        <v>0.48</v>
      </c>
      <c r="O10">
        <v>0</v>
      </c>
      <c r="P10">
        <f t="shared" si="8"/>
        <v>-0.02</v>
      </c>
      <c r="Q10">
        <v>2</v>
      </c>
      <c r="R10">
        <f t="shared" si="9"/>
        <v>0.33</v>
      </c>
      <c r="S10">
        <v>147</v>
      </c>
      <c r="T10" t="str">
        <f t="shared" si="10"/>
        <v>131-160</v>
      </c>
      <c r="U10">
        <f t="shared" si="11"/>
        <v>0.2</v>
      </c>
      <c r="V10">
        <v>0</v>
      </c>
      <c r="W10">
        <f t="shared" si="12"/>
        <v>-0.64</v>
      </c>
      <c r="X10">
        <v>1.4</v>
      </c>
      <c r="Y10" t="str">
        <f t="shared" si="13"/>
        <v>0.1-1.5</v>
      </c>
      <c r="Z10">
        <f t="shared" si="14"/>
        <v>-0.48</v>
      </c>
      <c r="AA10">
        <v>1</v>
      </c>
      <c r="AB10">
        <f t="shared" si="15"/>
        <v>0.78</v>
      </c>
      <c r="AC10">
        <v>1</v>
      </c>
      <c r="AD10">
        <f t="shared" si="16"/>
        <v>0.91</v>
      </c>
      <c r="AE10">
        <v>3</v>
      </c>
      <c r="AF10">
        <f t="shared" si="17"/>
        <v>1.32</v>
      </c>
      <c r="AG10">
        <v>1</v>
      </c>
      <c r="AH10" t="str">
        <f t="shared" si="18"/>
        <v>Yes</v>
      </c>
    </row>
    <row r="11" spans="1:34">
      <c r="A11">
        <v>10</v>
      </c>
      <c r="B11">
        <v>53</v>
      </c>
      <c r="C11" t="str">
        <f t="shared" si="0"/>
        <v>47-56</v>
      </c>
      <c r="D11">
        <f t="shared" si="1"/>
        <v>-0.28000000000000003</v>
      </c>
      <c r="E11">
        <v>1</v>
      </c>
      <c r="F11">
        <f t="shared" si="2"/>
        <v>0.38</v>
      </c>
      <c r="G11">
        <v>3</v>
      </c>
      <c r="H11">
        <f t="shared" si="3"/>
        <v>1.1599999999999999</v>
      </c>
      <c r="I11">
        <v>140</v>
      </c>
      <c r="J11" s="2" t="str">
        <f t="shared" si="4"/>
        <v>121-150</v>
      </c>
      <c r="K11" s="2">
        <f t="shared" si="5"/>
        <v>0.04</v>
      </c>
      <c r="L11">
        <v>203</v>
      </c>
      <c r="M11" t="str">
        <f t="shared" si="6"/>
        <v>201-250</v>
      </c>
      <c r="N11">
        <f t="shared" si="7"/>
        <v>0.17</v>
      </c>
      <c r="O11">
        <v>1</v>
      </c>
      <c r="P11">
        <f t="shared" si="8"/>
        <v>0.12</v>
      </c>
      <c r="Q11">
        <v>2</v>
      </c>
      <c r="R11">
        <f t="shared" si="9"/>
        <v>0.33</v>
      </c>
      <c r="S11">
        <v>155</v>
      </c>
      <c r="T11" t="str">
        <f t="shared" si="10"/>
        <v>131-160</v>
      </c>
      <c r="U11">
        <f t="shared" si="11"/>
        <v>0.2</v>
      </c>
      <c r="V11">
        <v>1</v>
      </c>
      <c r="W11">
        <f t="shared" si="12"/>
        <v>1.36</v>
      </c>
      <c r="X11">
        <v>3.1</v>
      </c>
      <c r="Y11" t="str">
        <f t="shared" si="13"/>
        <v>2.9-4</v>
      </c>
      <c r="Z11">
        <f t="shared" si="14"/>
        <v>2.42</v>
      </c>
      <c r="AA11">
        <v>2</v>
      </c>
      <c r="AB11">
        <f t="shared" si="15"/>
        <v>0.45</v>
      </c>
      <c r="AC11">
        <v>0</v>
      </c>
      <c r="AD11">
        <f t="shared" si="16"/>
        <v>-0.87</v>
      </c>
      <c r="AE11">
        <v>3</v>
      </c>
      <c r="AF11">
        <f t="shared" si="17"/>
        <v>1.32</v>
      </c>
      <c r="AG11">
        <v>1</v>
      </c>
      <c r="AH11" t="str">
        <f t="shared" si="18"/>
        <v>Yes</v>
      </c>
    </row>
    <row r="12" spans="1:34">
      <c r="A12">
        <v>11</v>
      </c>
      <c r="B12">
        <v>57</v>
      </c>
      <c r="C12" t="str">
        <f t="shared" si="0"/>
        <v>57-66</v>
      </c>
      <c r="D12">
        <f t="shared" si="1"/>
        <v>0.64</v>
      </c>
      <c r="E12">
        <v>1</v>
      </c>
      <c r="F12">
        <f t="shared" si="2"/>
        <v>0.38</v>
      </c>
      <c r="G12">
        <v>3</v>
      </c>
      <c r="H12">
        <f t="shared" si="3"/>
        <v>1.1599999999999999</v>
      </c>
      <c r="I12">
        <v>140</v>
      </c>
      <c r="J12" s="2" t="str">
        <f t="shared" si="4"/>
        <v>121-150</v>
      </c>
      <c r="K12" s="2">
        <f t="shared" si="5"/>
        <v>0.04</v>
      </c>
      <c r="L12">
        <v>192</v>
      </c>
      <c r="M12" t="str">
        <f t="shared" si="6"/>
        <v>126-200</v>
      </c>
      <c r="N12">
        <f t="shared" si="7"/>
        <v>-0.16</v>
      </c>
      <c r="O12">
        <v>0</v>
      </c>
      <c r="P12">
        <f t="shared" si="8"/>
        <v>-0.02</v>
      </c>
      <c r="Q12">
        <v>0</v>
      </c>
      <c r="R12">
        <f t="shared" si="9"/>
        <v>-0.36</v>
      </c>
      <c r="S12">
        <v>148</v>
      </c>
      <c r="T12" t="str">
        <f t="shared" si="10"/>
        <v>131-160</v>
      </c>
      <c r="U12">
        <f t="shared" si="11"/>
        <v>0.2</v>
      </c>
      <c r="V12">
        <v>0</v>
      </c>
      <c r="W12">
        <f t="shared" si="12"/>
        <v>-0.64</v>
      </c>
      <c r="X12">
        <v>0.4</v>
      </c>
      <c r="Y12" t="str">
        <f t="shared" si="13"/>
        <v>0.1-1.5</v>
      </c>
      <c r="Z12">
        <f t="shared" si="14"/>
        <v>-0.48</v>
      </c>
      <c r="AA12">
        <v>1</v>
      </c>
      <c r="AB12">
        <f t="shared" si="15"/>
        <v>0.78</v>
      </c>
      <c r="AC12">
        <v>0</v>
      </c>
      <c r="AD12">
        <f t="shared" si="16"/>
        <v>-0.87</v>
      </c>
      <c r="AE12">
        <v>2</v>
      </c>
      <c r="AF12">
        <f t="shared" si="17"/>
        <v>0.86</v>
      </c>
      <c r="AG12">
        <v>0</v>
      </c>
      <c r="AH12" t="str">
        <f t="shared" si="18"/>
        <v>No</v>
      </c>
    </row>
    <row r="13" spans="1:34">
      <c r="A13">
        <v>12</v>
      </c>
      <c r="B13">
        <v>56</v>
      </c>
      <c r="C13" t="str">
        <f t="shared" si="0"/>
        <v>47-56</v>
      </c>
      <c r="D13">
        <f t="shared" si="1"/>
        <v>-0.28000000000000003</v>
      </c>
      <c r="E13">
        <v>0</v>
      </c>
      <c r="F13">
        <f t="shared" si="2"/>
        <v>-0.89</v>
      </c>
      <c r="G13">
        <v>1</v>
      </c>
      <c r="H13">
        <f t="shared" si="3"/>
        <v>-1.35</v>
      </c>
      <c r="I13">
        <v>140</v>
      </c>
      <c r="J13" s="2" t="str">
        <f t="shared" si="4"/>
        <v>121-150</v>
      </c>
      <c r="K13" s="2">
        <f t="shared" si="5"/>
        <v>0.04</v>
      </c>
      <c r="L13">
        <v>294</v>
      </c>
      <c r="M13" t="str">
        <f t="shared" si="6"/>
        <v>251-300</v>
      </c>
      <c r="N13">
        <f t="shared" si="7"/>
        <v>0.48</v>
      </c>
      <c r="O13">
        <v>0</v>
      </c>
      <c r="P13">
        <f t="shared" si="8"/>
        <v>-0.02</v>
      </c>
      <c r="Q13">
        <v>2</v>
      </c>
      <c r="R13">
        <f t="shared" si="9"/>
        <v>0.33</v>
      </c>
      <c r="S13">
        <v>153</v>
      </c>
      <c r="T13" t="str">
        <f t="shared" si="10"/>
        <v>131-160</v>
      </c>
      <c r="U13">
        <f t="shared" si="11"/>
        <v>0.2</v>
      </c>
      <c r="V13">
        <v>0</v>
      </c>
      <c r="W13">
        <f t="shared" si="12"/>
        <v>-0.64</v>
      </c>
      <c r="X13">
        <v>1.3</v>
      </c>
      <c r="Y13" t="str">
        <f t="shared" si="13"/>
        <v>0.1-1.5</v>
      </c>
      <c r="Z13">
        <f t="shared" si="14"/>
        <v>-0.48</v>
      </c>
      <c r="AA13">
        <v>1</v>
      </c>
      <c r="AB13">
        <f t="shared" si="15"/>
        <v>0.78</v>
      </c>
      <c r="AC13">
        <v>0</v>
      </c>
      <c r="AD13">
        <f t="shared" si="16"/>
        <v>-0.87</v>
      </c>
      <c r="AE13">
        <v>1</v>
      </c>
      <c r="AF13">
        <f t="shared" si="17"/>
        <v>-1.06</v>
      </c>
      <c r="AG13">
        <v>0</v>
      </c>
      <c r="AH13" t="str">
        <f t="shared" si="18"/>
        <v>No</v>
      </c>
    </row>
    <row r="14" spans="1:34">
      <c r="A14">
        <v>13</v>
      </c>
      <c r="B14">
        <v>56</v>
      </c>
      <c r="C14" t="str">
        <f t="shared" si="0"/>
        <v>47-56</v>
      </c>
      <c r="D14">
        <f t="shared" si="1"/>
        <v>-0.28000000000000003</v>
      </c>
      <c r="E14">
        <v>1</v>
      </c>
      <c r="F14">
        <f t="shared" si="2"/>
        <v>0.38</v>
      </c>
      <c r="G14">
        <v>2</v>
      </c>
      <c r="H14">
        <f t="shared" si="3"/>
        <v>-1.1599999999999999</v>
      </c>
      <c r="I14">
        <v>130</v>
      </c>
      <c r="J14" s="2" t="str">
        <f t="shared" si="4"/>
        <v>121-150</v>
      </c>
      <c r="K14" s="2">
        <f t="shared" si="5"/>
        <v>0.04</v>
      </c>
      <c r="L14">
        <v>256</v>
      </c>
      <c r="M14" t="str">
        <f t="shared" si="6"/>
        <v>251-300</v>
      </c>
      <c r="N14">
        <f t="shared" si="7"/>
        <v>0.48</v>
      </c>
      <c r="O14">
        <v>1</v>
      </c>
      <c r="P14">
        <f t="shared" si="8"/>
        <v>0.12</v>
      </c>
      <c r="Q14">
        <v>2</v>
      </c>
      <c r="R14">
        <f t="shared" si="9"/>
        <v>0.33</v>
      </c>
      <c r="S14">
        <v>142</v>
      </c>
      <c r="T14" t="str">
        <f t="shared" si="10"/>
        <v>131-160</v>
      </c>
      <c r="U14">
        <f t="shared" si="11"/>
        <v>0.2</v>
      </c>
      <c r="V14">
        <v>1</v>
      </c>
      <c r="W14">
        <f t="shared" si="12"/>
        <v>1.36</v>
      </c>
      <c r="X14">
        <v>0.6</v>
      </c>
      <c r="Y14" t="str">
        <f t="shared" si="13"/>
        <v>0.1-1.5</v>
      </c>
      <c r="Z14">
        <f t="shared" si="14"/>
        <v>-0.48</v>
      </c>
      <c r="AA14">
        <v>1</v>
      </c>
      <c r="AB14">
        <f t="shared" si="15"/>
        <v>0.78</v>
      </c>
      <c r="AC14">
        <v>1</v>
      </c>
      <c r="AD14">
        <f t="shared" si="16"/>
        <v>0.91</v>
      </c>
      <c r="AE14">
        <v>2</v>
      </c>
      <c r="AF14">
        <f t="shared" si="17"/>
        <v>0.86</v>
      </c>
      <c r="AG14">
        <v>1</v>
      </c>
      <c r="AH14" t="str">
        <f t="shared" si="18"/>
        <v>Yes</v>
      </c>
    </row>
    <row r="15" spans="1:34">
      <c r="A15">
        <v>14</v>
      </c>
      <c r="B15">
        <v>44</v>
      </c>
      <c r="C15" t="str">
        <f t="shared" si="0"/>
        <v>37-46</v>
      </c>
      <c r="D15">
        <f t="shared" si="1"/>
        <v>-0.83</v>
      </c>
      <c r="E15">
        <v>1</v>
      </c>
      <c r="F15">
        <f t="shared" si="2"/>
        <v>0.38</v>
      </c>
      <c r="G15">
        <v>1</v>
      </c>
      <c r="H15">
        <f t="shared" si="3"/>
        <v>-1.35</v>
      </c>
      <c r="I15">
        <v>120</v>
      </c>
      <c r="J15" s="2" t="str">
        <f t="shared" si="4"/>
        <v>94-120</v>
      </c>
      <c r="K15" s="2">
        <f t="shared" si="5"/>
        <v>-0.32</v>
      </c>
      <c r="L15">
        <v>263</v>
      </c>
      <c r="M15" t="str">
        <f t="shared" si="6"/>
        <v>251-300</v>
      </c>
      <c r="N15">
        <f t="shared" si="7"/>
        <v>0.48</v>
      </c>
      <c r="O15">
        <v>0</v>
      </c>
      <c r="P15">
        <f t="shared" si="8"/>
        <v>-0.02</v>
      </c>
      <c r="Q15">
        <v>0</v>
      </c>
      <c r="R15">
        <f t="shared" si="9"/>
        <v>-0.36</v>
      </c>
      <c r="S15">
        <v>173</v>
      </c>
      <c r="T15" t="str">
        <f t="shared" si="10"/>
        <v>161-190</v>
      </c>
      <c r="U15">
        <f t="shared" si="11"/>
        <v>-1.01</v>
      </c>
      <c r="V15">
        <v>0</v>
      </c>
      <c r="W15">
        <f t="shared" si="12"/>
        <v>-0.64</v>
      </c>
      <c r="X15">
        <v>0</v>
      </c>
      <c r="Y15" t="str">
        <f t="shared" si="13"/>
        <v>0.1-1.5</v>
      </c>
      <c r="Z15">
        <f t="shared" si="14"/>
        <v>-0.48</v>
      </c>
      <c r="AA15">
        <v>0</v>
      </c>
      <c r="AB15">
        <f t="shared" si="15"/>
        <v>-0.91</v>
      </c>
      <c r="AC15">
        <v>0</v>
      </c>
      <c r="AD15">
        <f t="shared" si="16"/>
        <v>-0.87</v>
      </c>
      <c r="AE15">
        <v>3</v>
      </c>
      <c r="AF15">
        <f t="shared" si="17"/>
        <v>1.32</v>
      </c>
      <c r="AG15">
        <v>0</v>
      </c>
      <c r="AH15" t="str">
        <f t="shared" si="18"/>
        <v>No</v>
      </c>
    </row>
    <row r="16" spans="1:34">
      <c r="A16">
        <v>15</v>
      </c>
      <c r="B16">
        <v>52</v>
      </c>
      <c r="C16" t="str">
        <f t="shared" si="0"/>
        <v>47-56</v>
      </c>
      <c r="D16">
        <f t="shared" si="1"/>
        <v>-0.28000000000000003</v>
      </c>
      <c r="E16">
        <v>1</v>
      </c>
      <c r="F16">
        <f t="shared" si="2"/>
        <v>0.38</v>
      </c>
      <c r="G16">
        <v>2</v>
      </c>
      <c r="H16">
        <f t="shared" si="3"/>
        <v>-1.1599999999999999</v>
      </c>
      <c r="I16">
        <v>172</v>
      </c>
      <c r="J16" s="2" t="str">
        <f t="shared" si="4"/>
        <v>151-180</v>
      </c>
      <c r="K16" s="2">
        <f t="shared" si="5"/>
        <v>0.56999999999999995</v>
      </c>
      <c r="L16">
        <v>199</v>
      </c>
      <c r="M16" t="str">
        <f t="shared" si="6"/>
        <v>126-200</v>
      </c>
      <c r="N16">
        <f t="shared" si="7"/>
        <v>-0.16</v>
      </c>
      <c r="O16">
        <v>1</v>
      </c>
      <c r="P16">
        <f t="shared" si="8"/>
        <v>0.12</v>
      </c>
      <c r="Q16">
        <v>0</v>
      </c>
      <c r="R16">
        <f t="shared" si="9"/>
        <v>-0.36</v>
      </c>
      <c r="S16">
        <v>162</v>
      </c>
      <c r="T16" t="str">
        <f t="shared" si="10"/>
        <v>161-190</v>
      </c>
      <c r="U16">
        <f t="shared" si="11"/>
        <v>-1.01</v>
      </c>
      <c r="V16">
        <v>0</v>
      </c>
      <c r="W16">
        <f t="shared" si="12"/>
        <v>-0.64</v>
      </c>
      <c r="X16">
        <v>0.5</v>
      </c>
      <c r="Y16" t="str">
        <f t="shared" si="13"/>
        <v>0.1-1.5</v>
      </c>
      <c r="Z16">
        <f t="shared" si="14"/>
        <v>-0.48</v>
      </c>
      <c r="AA16">
        <v>0</v>
      </c>
      <c r="AB16">
        <f t="shared" si="15"/>
        <v>-0.91</v>
      </c>
      <c r="AC16">
        <v>0</v>
      </c>
      <c r="AD16">
        <f t="shared" si="16"/>
        <v>-0.87</v>
      </c>
      <c r="AE16">
        <v>3</v>
      </c>
      <c r="AF16">
        <f t="shared" si="17"/>
        <v>1.32</v>
      </c>
      <c r="AG16">
        <v>0</v>
      </c>
      <c r="AH16" t="str">
        <f t="shared" si="18"/>
        <v>No</v>
      </c>
    </row>
    <row r="17" spans="1:34">
      <c r="A17">
        <v>16</v>
      </c>
      <c r="B17">
        <v>57</v>
      </c>
      <c r="C17" t="str">
        <f t="shared" si="0"/>
        <v>57-66</v>
      </c>
      <c r="D17">
        <f t="shared" si="1"/>
        <v>0.64</v>
      </c>
      <c r="E17">
        <v>1</v>
      </c>
      <c r="F17">
        <f t="shared" si="2"/>
        <v>0.38</v>
      </c>
      <c r="G17">
        <v>2</v>
      </c>
      <c r="H17">
        <f t="shared" si="3"/>
        <v>-1.1599999999999999</v>
      </c>
      <c r="I17">
        <v>150</v>
      </c>
      <c r="J17" s="2" t="str">
        <f t="shared" si="4"/>
        <v>121-150</v>
      </c>
      <c r="K17" s="2">
        <f t="shared" si="5"/>
        <v>0.04</v>
      </c>
      <c r="L17">
        <v>168</v>
      </c>
      <c r="M17" t="str">
        <f t="shared" si="6"/>
        <v>126-200</v>
      </c>
      <c r="N17">
        <f t="shared" si="7"/>
        <v>-0.16</v>
      </c>
      <c r="O17">
        <v>0</v>
      </c>
      <c r="P17">
        <f t="shared" si="8"/>
        <v>-0.02</v>
      </c>
      <c r="Q17">
        <v>0</v>
      </c>
      <c r="R17">
        <f t="shared" si="9"/>
        <v>-0.36</v>
      </c>
      <c r="S17">
        <v>174</v>
      </c>
      <c r="T17" t="str">
        <f t="shared" si="10"/>
        <v>161-190</v>
      </c>
      <c r="U17">
        <f t="shared" si="11"/>
        <v>-1.01</v>
      </c>
      <c r="V17">
        <v>0</v>
      </c>
      <c r="W17">
        <f t="shared" si="12"/>
        <v>-0.64</v>
      </c>
      <c r="X17">
        <v>1.6</v>
      </c>
      <c r="Y17" t="str">
        <f t="shared" si="13"/>
        <v>1.6-2.8</v>
      </c>
      <c r="Z17">
        <f t="shared" si="14"/>
        <v>0.99</v>
      </c>
      <c r="AA17">
        <v>0</v>
      </c>
      <c r="AB17">
        <f t="shared" si="15"/>
        <v>-0.91</v>
      </c>
      <c r="AC17">
        <v>0</v>
      </c>
      <c r="AD17">
        <f t="shared" si="16"/>
        <v>-0.87</v>
      </c>
      <c r="AE17">
        <v>1</v>
      </c>
      <c r="AF17">
        <f t="shared" si="17"/>
        <v>-1.06</v>
      </c>
      <c r="AG17">
        <v>0</v>
      </c>
      <c r="AH17" t="str">
        <f t="shared" si="18"/>
        <v>No</v>
      </c>
    </row>
    <row r="18" spans="1:34">
      <c r="A18">
        <v>17</v>
      </c>
      <c r="B18">
        <v>48</v>
      </c>
      <c r="C18" t="str">
        <f t="shared" si="0"/>
        <v>47-56</v>
      </c>
      <c r="D18">
        <f t="shared" si="1"/>
        <v>-0.28000000000000003</v>
      </c>
      <c r="E18">
        <v>1</v>
      </c>
      <c r="F18">
        <f t="shared" si="2"/>
        <v>0.38</v>
      </c>
      <c r="G18">
        <v>1</v>
      </c>
      <c r="H18">
        <f t="shared" si="3"/>
        <v>-1.35</v>
      </c>
      <c r="I18">
        <v>110</v>
      </c>
      <c r="J18" s="2" t="str">
        <f t="shared" si="4"/>
        <v>94-120</v>
      </c>
      <c r="K18" s="2">
        <f t="shared" si="5"/>
        <v>-0.32</v>
      </c>
      <c r="L18">
        <v>229</v>
      </c>
      <c r="M18" t="str">
        <f t="shared" si="6"/>
        <v>201-250</v>
      </c>
      <c r="N18">
        <f t="shared" si="7"/>
        <v>0.17</v>
      </c>
      <c r="O18">
        <v>0</v>
      </c>
      <c r="P18">
        <f t="shared" si="8"/>
        <v>-0.02</v>
      </c>
      <c r="Q18">
        <v>0</v>
      </c>
      <c r="R18">
        <f t="shared" si="9"/>
        <v>-0.36</v>
      </c>
      <c r="S18">
        <v>168</v>
      </c>
      <c r="T18" t="str">
        <f t="shared" si="10"/>
        <v>161-190</v>
      </c>
      <c r="U18">
        <f t="shared" si="11"/>
        <v>-1.01</v>
      </c>
      <c r="V18">
        <v>0</v>
      </c>
      <c r="W18">
        <f t="shared" si="12"/>
        <v>-0.64</v>
      </c>
      <c r="X18">
        <v>1</v>
      </c>
      <c r="Y18" t="str">
        <f t="shared" si="13"/>
        <v>0.1-1.5</v>
      </c>
      <c r="Z18">
        <f t="shared" si="14"/>
        <v>-0.48</v>
      </c>
      <c r="AA18">
        <v>2</v>
      </c>
      <c r="AB18">
        <f t="shared" si="15"/>
        <v>0.45</v>
      </c>
      <c r="AC18">
        <v>0</v>
      </c>
      <c r="AD18">
        <f t="shared" si="16"/>
        <v>-0.87</v>
      </c>
      <c r="AE18">
        <v>3</v>
      </c>
      <c r="AF18">
        <f t="shared" si="17"/>
        <v>1.32</v>
      </c>
      <c r="AG18">
        <v>1</v>
      </c>
      <c r="AH18" t="str">
        <f t="shared" si="18"/>
        <v>Yes</v>
      </c>
    </row>
    <row r="19" spans="1:34">
      <c r="A19">
        <v>18</v>
      </c>
      <c r="B19">
        <v>54</v>
      </c>
      <c r="C19" t="str">
        <f t="shared" si="0"/>
        <v>47-56</v>
      </c>
      <c r="D19">
        <f t="shared" si="1"/>
        <v>-0.28000000000000003</v>
      </c>
      <c r="E19">
        <v>1</v>
      </c>
      <c r="F19">
        <f t="shared" si="2"/>
        <v>0.38</v>
      </c>
      <c r="G19">
        <v>3</v>
      </c>
      <c r="H19">
        <f t="shared" si="3"/>
        <v>1.1599999999999999</v>
      </c>
      <c r="I19">
        <v>140</v>
      </c>
      <c r="J19" s="2" t="str">
        <f t="shared" si="4"/>
        <v>121-150</v>
      </c>
      <c r="K19" s="2">
        <f t="shared" si="5"/>
        <v>0.04</v>
      </c>
      <c r="L19">
        <v>239</v>
      </c>
      <c r="M19" t="str">
        <f t="shared" si="6"/>
        <v>201-250</v>
      </c>
      <c r="N19">
        <f t="shared" si="7"/>
        <v>0.17</v>
      </c>
      <c r="O19">
        <v>0</v>
      </c>
      <c r="P19">
        <f t="shared" si="8"/>
        <v>-0.02</v>
      </c>
      <c r="Q19">
        <v>0</v>
      </c>
      <c r="R19">
        <f t="shared" si="9"/>
        <v>-0.36</v>
      </c>
      <c r="S19">
        <v>160</v>
      </c>
      <c r="T19" t="str">
        <f t="shared" si="10"/>
        <v>131-160</v>
      </c>
      <c r="U19">
        <f t="shared" si="11"/>
        <v>0.2</v>
      </c>
      <c r="V19">
        <v>0</v>
      </c>
      <c r="W19">
        <f t="shared" si="12"/>
        <v>-0.64</v>
      </c>
      <c r="X19">
        <v>1.2</v>
      </c>
      <c r="Y19" t="str">
        <f t="shared" si="13"/>
        <v>0.1-1.5</v>
      </c>
      <c r="Z19">
        <f t="shared" si="14"/>
        <v>-0.48</v>
      </c>
      <c r="AA19">
        <v>0</v>
      </c>
      <c r="AB19">
        <f t="shared" si="15"/>
        <v>-0.91</v>
      </c>
      <c r="AC19">
        <v>0</v>
      </c>
      <c r="AD19">
        <f t="shared" si="16"/>
        <v>-0.87</v>
      </c>
      <c r="AE19">
        <v>1</v>
      </c>
      <c r="AF19">
        <f t="shared" si="17"/>
        <v>-1.06</v>
      </c>
      <c r="AG19">
        <v>0</v>
      </c>
      <c r="AH19" t="str">
        <f t="shared" si="18"/>
        <v>No</v>
      </c>
    </row>
    <row r="20" spans="1:34">
      <c r="A20">
        <v>19</v>
      </c>
      <c r="B20">
        <v>48</v>
      </c>
      <c r="C20" t="str">
        <f t="shared" si="0"/>
        <v>47-56</v>
      </c>
      <c r="D20">
        <f t="shared" si="1"/>
        <v>-0.28000000000000003</v>
      </c>
      <c r="E20">
        <v>0</v>
      </c>
      <c r="F20">
        <f t="shared" si="2"/>
        <v>-0.89</v>
      </c>
      <c r="G20">
        <v>2</v>
      </c>
      <c r="H20">
        <f t="shared" si="3"/>
        <v>-1.1599999999999999</v>
      </c>
      <c r="I20">
        <v>130</v>
      </c>
      <c r="J20" s="2" t="str">
        <f t="shared" si="4"/>
        <v>121-150</v>
      </c>
      <c r="K20" s="2">
        <f t="shared" si="5"/>
        <v>0.04</v>
      </c>
      <c r="L20">
        <v>275</v>
      </c>
      <c r="M20" t="str">
        <f t="shared" si="6"/>
        <v>251-300</v>
      </c>
      <c r="N20">
        <f t="shared" si="7"/>
        <v>0.48</v>
      </c>
      <c r="O20">
        <v>0</v>
      </c>
      <c r="P20">
        <f t="shared" si="8"/>
        <v>-0.02</v>
      </c>
      <c r="Q20">
        <v>0</v>
      </c>
      <c r="R20">
        <f t="shared" si="9"/>
        <v>-0.36</v>
      </c>
      <c r="S20">
        <v>139</v>
      </c>
      <c r="T20" t="str">
        <f t="shared" si="10"/>
        <v>131-160</v>
      </c>
      <c r="U20">
        <f t="shared" si="11"/>
        <v>0.2</v>
      </c>
      <c r="V20">
        <v>0</v>
      </c>
      <c r="W20">
        <f t="shared" si="12"/>
        <v>-0.64</v>
      </c>
      <c r="X20">
        <v>0.2</v>
      </c>
      <c r="Y20" t="str">
        <f t="shared" si="13"/>
        <v>0.1-1.5</v>
      </c>
      <c r="Z20">
        <f t="shared" si="14"/>
        <v>-0.48</v>
      </c>
      <c r="AA20">
        <v>0</v>
      </c>
      <c r="AB20">
        <f t="shared" si="15"/>
        <v>-0.91</v>
      </c>
      <c r="AC20">
        <v>0</v>
      </c>
      <c r="AD20">
        <f t="shared" si="16"/>
        <v>-0.87</v>
      </c>
      <c r="AE20">
        <v>1</v>
      </c>
      <c r="AF20">
        <f t="shared" si="17"/>
        <v>-1.06</v>
      </c>
      <c r="AG20">
        <v>0</v>
      </c>
      <c r="AH20" t="str">
        <f t="shared" si="18"/>
        <v>No</v>
      </c>
    </row>
    <row r="21" spans="1:34">
      <c r="A21">
        <v>20</v>
      </c>
      <c r="B21">
        <v>49</v>
      </c>
      <c r="C21" t="str">
        <f t="shared" si="0"/>
        <v>47-56</v>
      </c>
      <c r="D21">
        <f t="shared" si="1"/>
        <v>-0.28000000000000003</v>
      </c>
      <c r="E21">
        <v>1</v>
      </c>
      <c r="F21">
        <f t="shared" si="2"/>
        <v>0.38</v>
      </c>
      <c r="G21">
        <v>1</v>
      </c>
      <c r="H21">
        <f t="shared" si="3"/>
        <v>-1.35</v>
      </c>
      <c r="I21">
        <v>130</v>
      </c>
      <c r="J21" s="2" t="str">
        <f t="shared" si="4"/>
        <v>121-150</v>
      </c>
      <c r="K21" s="2">
        <f t="shared" si="5"/>
        <v>0.04</v>
      </c>
      <c r="L21">
        <v>266</v>
      </c>
      <c r="M21" t="str">
        <f t="shared" si="6"/>
        <v>251-300</v>
      </c>
      <c r="N21">
        <f t="shared" si="7"/>
        <v>0.48</v>
      </c>
      <c r="O21">
        <v>0</v>
      </c>
      <c r="P21">
        <f t="shared" si="8"/>
        <v>-0.02</v>
      </c>
      <c r="Q21">
        <v>0</v>
      </c>
      <c r="R21">
        <f t="shared" si="9"/>
        <v>-0.36</v>
      </c>
      <c r="S21">
        <v>171</v>
      </c>
      <c r="T21" t="str">
        <f t="shared" si="10"/>
        <v>161-190</v>
      </c>
      <c r="U21">
        <f t="shared" si="11"/>
        <v>-1.01</v>
      </c>
      <c r="V21">
        <v>0</v>
      </c>
      <c r="W21">
        <f t="shared" si="12"/>
        <v>-0.64</v>
      </c>
      <c r="X21">
        <v>0.6</v>
      </c>
      <c r="Y21" t="str">
        <f t="shared" si="13"/>
        <v>0.1-1.5</v>
      </c>
      <c r="Z21">
        <f t="shared" si="14"/>
        <v>-0.48</v>
      </c>
      <c r="AA21">
        <v>0</v>
      </c>
      <c r="AB21">
        <f t="shared" si="15"/>
        <v>-0.91</v>
      </c>
      <c r="AC21">
        <v>0</v>
      </c>
      <c r="AD21">
        <f t="shared" si="16"/>
        <v>-0.87</v>
      </c>
      <c r="AE21">
        <v>1</v>
      </c>
      <c r="AF21">
        <f t="shared" si="17"/>
        <v>-1.06</v>
      </c>
      <c r="AG21">
        <v>0</v>
      </c>
      <c r="AH21" t="str">
        <f t="shared" si="18"/>
        <v>No</v>
      </c>
    </row>
    <row r="22" spans="1:34">
      <c r="A22">
        <v>21</v>
      </c>
      <c r="B22">
        <v>64</v>
      </c>
      <c r="C22" t="str">
        <f t="shared" si="0"/>
        <v>57-66</v>
      </c>
      <c r="D22">
        <f t="shared" si="1"/>
        <v>0.64</v>
      </c>
      <c r="E22">
        <v>1</v>
      </c>
      <c r="F22">
        <f t="shared" si="2"/>
        <v>0.38</v>
      </c>
      <c r="G22">
        <v>0</v>
      </c>
      <c r="H22">
        <f t="shared" si="3"/>
        <v>-0.66</v>
      </c>
      <c r="I22">
        <v>110</v>
      </c>
      <c r="J22" s="2" t="str">
        <f t="shared" si="4"/>
        <v>94-120</v>
      </c>
      <c r="K22" s="2">
        <f t="shared" si="5"/>
        <v>-0.32</v>
      </c>
      <c r="L22">
        <v>211</v>
      </c>
      <c r="M22" t="str">
        <f t="shared" si="6"/>
        <v>201-250</v>
      </c>
      <c r="N22">
        <f t="shared" si="7"/>
        <v>0.17</v>
      </c>
      <c r="O22">
        <v>0</v>
      </c>
      <c r="P22">
        <f t="shared" si="8"/>
        <v>-0.02</v>
      </c>
      <c r="Q22">
        <v>2</v>
      </c>
      <c r="R22">
        <f t="shared" si="9"/>
        <v>0.33</v>
      </c>
      <c r="S22">
        <v>144</v>
      </c>
      <c r="T22" t="str">
        <f t="shared" si="10"/>
        <v>131-160</v>
      </c>
      <c r="U22">
        <f t="shared" si="11"/>
        <v>0.2</v>
      </c>
      <c r="V22">
        <v>1</v>
      </c>
      <c r="W22">
        <f t="shared" si="12"/>
        <v>1.36</v>
      </c>
      <c r="X22">
        <v>1.8</v>
      </c>
      <c r="Y22" t="str">
        <f t="shared" si="13"/>
        <v>1.6-2.8</v>
      </c>
      <c r="Z22">
        <f t="shared" si="14"/>
        <v>0.99</v>
      </c>
      <c r="AA22">
        <v>1</v>
      </c>
      <c r="AB22">
        <f t="shared" si="15"/>
        <v>0.78</v>
      </c>
      <c r="AC22">
        <v>0</v>
      </c>
      <c r="AD22">
        <f t="shared" si="16"/>
        <v>-0.87</v>
      </c>
      <c r="AE22">
        <v>1</v>
      </c>
      <c r="AF22">
        <f t="shared" si="17"/>
        <v>-1.06</v>
      </c>
      <c r="AG22">
        <v>0</v>
      </c>
      <c r="AH22" t="str">
        <f t="shared" si="18"/>
        <v>No</v>
      </c>
    </row>
    <row r="23" spans="1:34">
      <c r="A23">
        <v>22</v>
      </c>
      <c r="B23">
        <v>58</v>
      </c>
      <c r="C23" t="str">
        <f t="shared" si="0"/>
        <v>57-66</v>
      </c>
      <c r="D23">
        <f t="shared" si="1"/>
        <v>0.64</v>
      </c>
      <c r="E23">
        <v>0</v>
      </c>
      <c r="F23">
        <f t="shared" si="2"/>
        <v>-0.89</v>
      </c>
      <c r="G23">
        <v>0</v>
      </c>
      <c r="H23">
        <f t="shared" si="3"/>
        <v>-0.66</v>
      </c>
      <c r="I23">
        <v>150</v>
      </c>
      <c r="J23" s="2" t="str">
        <f t="shared" si="4"/>
        <v>121-150</v>
      </c>
      <c r="K23" s="2">
        <f t="shared" si="5"/>
        <v>0.04</v>
      </c>
      <c r="L23">
        <v>283</v>
      </c>
      <c r="M23" t="str">
        <f t="shared" si="6"/>
        <v>251-300</v>
      </c>
      <c r="N23">
        <f t="shared" si="7"/>
        <v>0.48</v>
      </c>
      <c r="O23">
        <v>1</v>
      </c>
      <c r="P23">
        <f t="shared" si="8"/>
        <v>0.12</v>
      </c>
      <c r="Q23">
        <v>2</v>
      </c>
      <c r="R23">
        <f t="shared" si="9"/>
        <v>0.33</v>
      </c>
      <c r="S23">
        <v>162</v>
      </c>
      <c r="T23" t="str">
        <f t="shared" si="10"/>
        <v>161-190</v>
      </c>
      <c r="U23">
        <f t="shared" si="11"/>
        <v>-1.01</v>
      </c>
      <c r="V23">
        <v>0</v>
      </c>
      <c r="W23">
        <f t="shared" si="12"/>
        <v>-0.64</v>
      </c>
      <c r="X23">
        <v>1</v>
      </c>
      <c r="Y23" t="str">
        <f t="shared" si="13"/>
        <v>0.1-1.5</v>
      </c>
      <c r="Z23">
        <f t="shared" si="14"/>
        <v>-0.48</v>
      </c>
      <c r="AA23">
        <v>0</v>
      </c>
      <c r="AB23">
        <f t="shared" si="15"/>
        <v>-0.91</v>
      </c>
      <c r="AC23">
        <v>0</v>
      </c>
      <c r="AD23">
        <f t="shared" si="16"/>
        <v>-0.87</v>
      </c>
      <c r="AE23">
        <v>1</v>
      </c>
      <c r="AF23">
        <f t="shared" si="17"/>
        <v>-1.06</v>
      </c>
      <c r="AG23">
        <v>0</v>
      </c>
      <c r="AH23" t="str">
        <f t="shared" si="18"/>
        <v>No</v>
      </c>
    </row>
    <row r="24" spans="1:34">
      <c r="A24">
        <v>23</v>
      </c>
      <c r="B24">
        <v>58</v>
      </c>
      <c r="C24" t="str">
        <f t="shared" si="0"/>
        <v>57-66</v>
      </c>
      <c r="D24">
        <f t="shared" si="1"/>
        <v>0.64</v>
      </c>
      <c r="E24">
        <v>1</v>
      </c>
      <c r="F24">
        <f t="shared" si="2"/>
        <v>0.38</v>
      </c>
      <c r="G24">
        <v>1</v>
      </c>
      <c r="H24">
        <f t="shared" si="3"/>
        <v>-1.35</v>
      </c>
      <c r="I24">
        <v>120</v>
      </c>
      <c r="J24" s="2" t="str">
        <f t="shared" si="4"/>
        <v>94-120</v>
      </c>
      <c r="K24" s="2">
        <f t="shared" si="5"/>
        <v>-0.32</v>
      </c>
      <c r="L24">
        <v>284</v>
      </c>
      <c r="M24" t="str">
        <f t="shared" si="6"/>
        <v>251-300</v>
      </c>
      <c r="N24">
        <f t="shared" si="7"/>
        <v>0.48</v>
      </c>
      <c r="O24">
        <v>0</v>
      </c>
      <c r="P24">
        <f t="shared" si="8"/>
        <v>-0.02</v>
      </c>
      <c r="Q24">
        <v>2</v>
      </c>
      <c r="R24">
        <f t="shared" si="9"/>
        <v>0.33</v>
      </c>
      <c r="S24">
        <v>160</v>
      </c>
      <c r="T24" t="str">
        <f t="shared" si="10"/>
        <v>131-160</v>
      </c>
      <c r="U24">
        <f t="shared" si="11"/>
        <v>0.2</v>
      </c>
      <c r="V24">
        <v>0</v>
      </c>
      <c r="W24">
        <f t="shared" si="12"/>
        <v>-0.64</v>
      </c>
      <c r="X24">
        <v>1.8</v>
      </c>
      <c r="Y24" t="str">
        <f t="shared" si="13"/>
        <v>1.6-2.8</v>
      </c>
      <c r="Z24">
        <f t="shared" si="14"/>
        <v>0.99</v>
      </c>
      <c r="AA24">
        <v>1</v>
      </c>
      <c r="AB24">
        <f t="shared" si="15"/>
        <v>0.78</v>
      </c>
      <c r="AC24">
        <v>0</v>
      </c>
      <c r="AD24">
        <f t="shared" si="16"/>
        <v>-0.87</v>
      </c>
      <c r="AE24">
        <v>1</v>
      </c>
      <c r="AF24">
        <f t="shared" si="17"/>
        <v>-1.06</v>
      </c>
      <c r="AG24">
        <v>1</v>
      </c>
      <c r="AH24" t="str">
        <f t="shared" si="18"/>
        <v>Yes</v>
      </c>
    </row>
    <row r="25" spans="1:34">
      <c r="A25">
        <v>24</v>
      </c>
      <c r="B25">
        <v>58</v>
      </c>
      <c r="C25" t="str">
        <f t="shared" si="0"/>
        <v>57-66</v>
      </c>
      <c r="D25">
        <f t="shared" si="1"/>
        <v>0.64</v>
      </c>
      <c r="E25">
        <v>1</v>
      </c>
      <c r="F25">
        <f t="shared" si="2"/>
        <v>0.38</v>
      </c>
      <c r="G25">
        <v>2</v>
      </c>
      <c r="H25">
        <f t="shared" si="3"/>
        <v>-1.1599999999999999</v>
      </c>
      <c r="I25">
        <v>132</v>
      </c>
      <c r="J25" s="2" t="str">
        <f t="shared" si="4"/>
        <v>121-150</v>
      </c>
      <c r="K25" s="2">
        <f t="shared" si="5"/>
        <v>0.04</v>
      </c>
      <c r="L25">
        <v>224</v>
      </c>
      <c r="M25" t="str">
        <f t="shared" si="6"/>
        <v>201-250</v>
      </c>
      <c r="N25">
        <f t="shared" si="7"/>
        <v>0.17</v>
      </c>
      <c r="O25">
        <v>0</v>
      </c>
      <c r="P25">
        <f t="shared" si="8"/>
        <v>-0.02</v>
      </c>
      <c r="Q25">
        <v>2</v>
      </c>
      <c r="R25">
        <f t="shared" si="9"/>
        <v>0.33</v>
      </c>
      <c r="S25">
        <v>173</v>
      </c>
      <c r="T25" t="str">
        <f t="shared" si="10"/>
        <v>161-190</v>
      </c>
      <c r="U25">
        <f t="shared" si="11"/>
        <v>-1.01</v>
      </c>
      <c r="V25">
        <v>0</v>
      </c>
      <c r="W25">
        <f t="shared" si="12"/>
        <v>-0.64</v>
      </c>
      <c r="X25">
        <v>3.2</v>
      </c>
      <c r="Y25" t="str">
        <f t="shared" si="13"/>
        <v>2.9-4</v>
      </c>
      <c r="Z25">
        <f t="shared" si="14"/>
        <v>2.42</v>
      </c>
      <c r="AA25">
        <v>0</v>
      </c>
      <c r="AB25">
        <f t="shared" si="15"/>
        <v>-0.91</v>
      </c>
      <c r="AC25">
        <v>2</v>
      </c>
      <c r="AD25">
        <f t="shared" si="16"/>
        <v>1.65</v>
      </c>
      <c r="AE25">
        <v>3</v>
      </c>
      <c r="AF25">
        <f t="shared" si="17"/>
        <v>1.32</v>
      </c>
      <c r="AG25">
        <v>1</v>
      </c>
      <c r="AH25" t="str">
        <f t="shared" si="18"/>
        <v>Yes</v>
      </c>
    </row>
    <row r="26" spans="1:34">
      <c r="A26">
        <v>25</v>
      </c>
      <c r="B26">
        <v>60</v>
      </c>
      <c r="C26" t="str">
        <f t="shared" si="0"/>
        <v>57-66</v>
      </c>
      <c r="D26">
        <f t="shared" si="1"/>
        <v>0.64</v>
      </c>
      <c r="E26">
        <v>1</v>
      </c>
      <c r="F26">
        <f t="shared" si="2"/>
        <v>0.38</v>
      </c>
      <c r="G26">
        <v>3</v>
      </c>
      <c r="H26">
        <f t="shared" si="3"/>
        <v>1.1599999999999999</v>
      </c>
      <c r="I26">
        <v>130</v>
      </c>
      <c r="J26" s="2" t="str">
        <f t="shared" si="4"/>
        <v>121-150</v>
      </c>
      <c r="K26" s="2">
        <f t="shared" si="5"/>
        <v>0.04</v>
      </c>
      <c r="L26">
        <v>206</v>
      </c>
      <c r="M26" t="str">
        <f t="shared" si="6"/>
        <v>201-250</v>
      </c>
      <c r="N26">
        <f t="shared" si="7"/>
        <v>0.17</v>
      </c>
      <c r="O26">
        <v>0</v>
      </c>
      <c r="P26">
        <f t="shared" si="8"/>
        <v>-0.02</v>
      </c>
      <c r="Q26">
        <v>2</v>
      </c>
      <c r="R26">
        <f t="shared" si="9"/>
        <v>0.33</v>
      </c>
      <c r="S26">
        <v>132</v>
      </c>
      <c r="T26" t="str">
        <f t="shared" si="10"/>
        <v>131-160</v>
      </c>
      <c r="U26">
        <f t="shared" si="11"/>
        <v>0.2</v>
      </c>
      <c r="V26">
        <v>1</v>
      </c>
      <c r="W26">
        <f t="shared" si="12"/>
        <v>1.36</v>
      </c>
      <c r="X26">
        <v>2.4</v>
      </c>
      <c r="Y26" t="str">
        <f t="shared" si="13"/>
        <v>1.6-2.8</v>
      </c>
      <c r="Z26">
        <f t="shared" si="14"/>
        <v>0.99</v>
      </c>
      <c r="AA26">
        <v>1</v>
      </c>
      <c r="AB26">
        <f t="shared" si="15"/>
        <v>0.78</v>
      </c>
      <c r="AC26">
        <v>2</v>
      </c>
      <c r="AD26">
        <f t="shared" si="16"/>
        <v>1.65</v>
      </c>
      <c r="AE26">
        <v>3</v>
      </c>
      <c r="AF26">
        <f t="shared" si="17"/>
        <v>1.32</v>
      </c>
      <c r="AG26">
        <v>1</v>
      </c>
      <c r="AH26" t="str">
        <f t="shared" si="18"/>
        <v>Yes</v>
      </c>
    </row>
    <row r="27" spans="1:34">
      <c r="A27">
        <v>26</v>
      </c>
      <c r="B27">
        <v>50</v>
      </c>
      <c r="C27" t="str">
        <f t="shared" si="0"/>
        <v>47-56</v>
      </c>
      <c r="D27">
        <f t="shared" si="1"/>
        <v>-0.28000000000000003</v>
      </c>
      <c r="E27">
        <v>0</v>
      </c>
      <c r="F27">
        <f t="shared" si="2"/>
        <v>-0.89</v>
      </c>
      <c r="G27">
        <v>2</v>
      </c>
      <c r="H27">
        <f t="shared" si="3"/>
        <v>-1.1599999999999999</v>
      </c>
      <c r="I27">
        <v>120</v>
      </c>
      <c r="J27" s="2" t="str">
        <f t="shared" si="4"/>
        <v>94-120</v>
      </c>
      <c r="K27" s="2">
        <f t="shared" si="5"/>
        <v>-0.32</v>
      </c>
      <c r="L27">
        <v>219</v>
      </c>
      <c r="M27" t="str">
        <f t="shared" si="6"/>
        <v>201-250</v>
      </c>
      <c r="N27">
        <f t="shared" si="7"/>
        <v>0.17</v>
      </c>
      <c r="O27">
        <v>0</v>
      </c>
      <c r="P27">
        <f t="shared" si="8"/>
        <v>-0.02</v>
      </c>
      <c r="Q27">
        <v>0</v>
      </c>
      <c r="R27">
        <f t="shared" si="9"/>
        <v>-0.36</v>
      </c>
      <c r="S27">
        <v>158</v>
      </c>
      <c r="T27" t="str">
        <f t="shared" si="10"/>
        <v>131-160</v>
      </c>
      <c r="U27">
        <f t="shared" si="11"/>
        <v>0.2</v>
      </c>
      <c r="V27">
        <v>0</v>
      </c>
      <c r="W27">
        <f t="shared" si="12"/>
        <v>-0.64</v>
      </c>
      <c r="X27">
        <v>1.6</v>
      </c>
      <c r="Y27" t="str">
        <f t="shared" si="13"/>
        <v>1.6-2.8</v>
      </c>
      <c r="Z27">
        <f t="shared" si="14"/>
        <v>0.99</v>
      </c>
      <c r="AA27">
        <v>1</v>
      </c>
      <c r="AB27">
        <f t="shared" si="15"/>
        <v>0.78</v>
      </c>
      <c r="AC27">
        <v>0</v>
      </c>
      <c r="AD27">
        <f t="shared" si="16"/>
        <v>-0.87</v>
      </c>
      <c r="AE27">
        <v>1</v>
      </c>
      <c r="AF27">
        <f t="shared" si="17"/>
        <v>-1.06</v>
      </c>
      <c r="AG27">
        <v>0</v>
      </c>
      <c r="AH27" t="str">
        <f t="shared" si="18"/>
        <v>No</v>
      </c>
    </row>
    <row r="28" spans="1:34">
      <c r="A28">
        <v>27</v>
      </c>
      <c r="B28">
        <v>58</v>
      </c>
      <c r="C28" t="str">
        <f t="shared" si="0"/>
        <v>57-66</v>
      </c>
      <c r="D28">
        <f t="shared" si="1"/>
        <v>0.64</v>
      </c>
      <c r="E28">
        <v>0</v>
      </c>
      <c r="F28">
        <f t="shared" si="2"/>
        <v>-0.89</v>
      </c>
      <c r="G28">
        <v>2</v>
      </c>
      <c r="H28">
        <f t="shared" si="3"/>
        <v>-1.1599999999999999</v>
      </c>
      <c r="I28">
        <v>120</v>
      </c>
      <c r="J28" s="2" t="str">
        <f t="shared" si="4"/>
        <v>94-120</v>
      </c>
      <c r="K28" s="2">
        <f t="shared" si="5"/>
        <v>-0.32</v>
      </c>
      <c r="L28">
        <v>340</v>
      </c>
      <c r="M28" t="str">
        <f t="shared" si="6"/>
        <v>351-400</v>
      </c>
      <c r="N28">
        <f t="shared" si="7"/>
        <v>0.17</v>
      </c>
      <c r="O28">
        <v>0</v>
      </c>
      <c r="P28">
        <f t="shared" si="8"/>
        <v>-0.02</v>
      </c>
      <c r="Q28">
        <v>0</v>
      </c>
      <c r="R28">
        <f t="shared" si="9"/>
        <v>-0.36</v>
      </c>
      <c r="S28">
        <v>172</v>
      </c>
      <c r="T28" t="str">
        <f t="shared" si="10"/>
        <v>161-190</v>
      </c>
      <c r="U28">
        <f t="shared" si="11"/>
        <v>-1.01</v>
      </c>
      <c r="V28">
        <v>0</v>
      </c>
      <c r="W28">
        <f t="shared" si="12"/>
        <v>-0.64</v>
      </c>
      <c r="X28">
        <v>0</v>
      </c>
      <c r="Y28" t="str">
        <f t="shared" si="13"/>
        <v>0.1-1.5</v>
      </c>
      <c r="Z28">
        <f t="shared" si="14"/>
        <v>-0.48</v>
      </c>
      <c r="AA28">
        <v>0</v>
      </c>
      <c r="AB28">
        <f t="shared" si="15"/>
        <v>-0.91</v>
      </c>
      <c r="AC28">
        <v>0</v>
      </c>
      <c r="AD28">
        <f t="shared" si="16"/>
        <v>-0.87</v>
      </c>
      <c r="AE28">
        <v>1</v>
      </c>
      <c r="AF28">
        <f t="shared" si="17"/>
        <v>-1.06</v>
      </c>
      <c r="AG28">
        <v>0</v>
      </c>
      <c r="AH28" t="str">
        <f t="shared" si="18"/>
        <v>No</v>
      </c>
    </row>
    <row r="29" spans="1:34">
      <c r="A29">
        <v>28</v>
      </c>
      <c r="B29">
        <v>66</v>
      </c>
      <c r="C29" t="str">
        <f t="shared" si="0"/>
        <v>57-66</v>
      </c>
      <c r="D29">
        <f t="shared" si="1"/>
        <v>0.64</v>
      </c>
      <c r="E29">
        <v>0</v>
      </c>
      <c r="F29">
        <f t="shared" si="2"/>
        <v>-0.89</v>
      </c>
      <c r="G29">
        <v>0</v>
      </c>
      <c r="H29">
        <f t="shared" si="3"/>
        <v>-0.66</v>
      </c>
      <c r="I29">
        <v>150</v>
      </c>
      <c r="J29" s="2" t="str">
        <f t="shared" si="4"/>
        <v>121-150</v>
      </c>
      <c r="K29" s="2">
        <f t="shared" si="5"/>
        <v>0.04</v>
      </c>
      <c r="L29">
        <v>226</v>
      </c>
      <c r="M29" t="str">
        <f t="shared" si="6"/>
        <v>201-250</v>
      </c>
      <c r="N29">
        <f t="shared" si="7"/>
        <v>0.17</v>
      </c>
      <c r="O29">
        <v>0</v>
      </c>
      <c r="P29">
        <f t="shared" si="8"/>
        <v>-0.02</v>
      </c>
      <c r="Q29">
        <v>0</v>
      </c>
      <c r="R29">
        <f t="shared" si="9"/>
        <v>-0.36</v>
      </c>
      <c r="S29">
        <v>114</v>
      </c>
      <c r="T29" t="str">
        <f t="shared" si="10"/>
        <v>101-130</v>
      </c>
      <c r="U29">
        <f t="shared" si="11"/>
        <v>1.1499999999999999</v>
      </c>
      <c r="V29">
        <v>0</v>
      </c>
      <c r="W29">
        <f t="shared" si="12"/>
        <v>-0.64</v>
      </c>
      <c r="X29">
        <v>2.6</v>
      </c>
      <c r="Y29" t="str">
        <f t="shared" si="13"/>
        <v>1.6-2.8</v>
      </c>
      <c r="Z29">
        <f t="shared" si="14"/>
        <v>0.99</v>
      </c>
      <c r="AA29">
        <v>2</v>
      </c>
      <c r="AB29">
        <f t="shared" si="15"/>
        <v>0.45</v>
      </c>
      <c r="AC29">
        <v>0</v>
      </c>
      <c r="AD29">
        <f t="shared" si="16"/>
        <v>-0.87</v>
      </c>
      <c r="AE29">
        <v>1</v>
      </c>
      <c r="AF29">
        <f t="shared" si="17"/>
        <v>-1.06</v>
      </c>
      <c r="AG29">
        <v>0</v>
      </c>
      <c r="AH29" t="str">
        <f t="shared" si="18"/>
        <v>No</v>
      </c>
    </row>
    <row r="30" spans="1:34">
      <c r="A30">
        <v>29</v>
      </c>
      <c r="B30">
        <v>43</v>
      </c>
      <c r="C30" t="str">
        <f t="shared" si="0"/>
        <v>37-46</v>
      </c>
      <c r="D30">
        <f t="shared" si="1"/>
        <v>-0.83</v>
      </c>
      <c r="E30">
        <v>1</v>
      </c>
      <c r="F30">
        <f t="shared" si="2"/>
        <v>0.38</v>
      </c>
      <c r="G30">
        <v>3</v>
      </c>
      <c r="H30">
        <f t="shared" si="3"/>
        <v>1.1599999999999999</v>
      </c>
      <c r="I30">
        <v>150</v>
      </c>
      <c r="J30" s="2" t="str">
        <f t="shared" si="4"/>
        <v>121-150</v>
      </c>
      <c r="K30" s="2">
        <f t="shared" si="5"/>
        <v>0.04</v>
      </c>
      <c r="L30">
        <v>247</v>
      </c>
      <c r="M30" t="str">
        <f t="shared" si="6"/>
        <v>201-250</v>
      </c>
      <c r="N30">
        <f t="shared" si="7"/>
        <v>0.17</v>
      </c>
      <c r="O30">
        <v>0</v>
      </c>
      <c r="P30">
        <f t="shared" si="8"/>
        <v>-0.02</v>
      </c>
      <c r="Q30">
        <v>0</v>
      </c>
      <c r="R30">
        <f t="shared" si="9"/>
        <v>-0.36</v>
      </c>
      <c r="S30">
        <v>171</v>
      </c>
      <c r="T30" t="str">
        <f t="shared" si="10"/>
        <v>161-190</v>
      </c>
      <c r="U30">
        <f t="shared" si="11"/>
        <v>-1.01</v>
      </c>
      <c r="V30">
        <v>0</v>
      </c>
      <c r="W30">
        <f t="shared" si="12"/>
        <v>-0.64</v>
      </c>
      <c r="X30">
        <v>1.5</v>
      </c>
      <c r="Y30" t="str">
        <f t="shared" si="13"/>
        <v>0.1-1.5</v>
      </c>
      <c r="Z30">
        <f t="shared" si="14"/>
        <v>-0.48</v>
      </c>
      <c r="AA30">
        <v>0</v>
      </c>
      <c r="AB30">
        <f t="shared" si="15"/>
        <v>-0.91</v>
      </c>
      <c r="AC30">
        <v>0</v>
      </c>
      <c r="AD30">
        <f t="shared" si="16"/>
        <v>-0.87</v>
      </c>
      <c r="AE30">
        <v>1</v>
      </c>
      <c r="AF30">
        <f t="shared" si="17"/>
        <v>-1.06</v>
      </c>
      <c r="AG30">
        <v>0</v>
      </c>
      <c r="AH30" t="str">
        <f t="shared" si="18"/>
        <v>No</v>
      </c>
    </row>
    <row r="31" spans="1:34">
      <c r="A31">
        <v>30</v>
      </c>
      <c r="B31">
        <v>40</v>
      </c>
      <c r="C31" t="str">
        <f t="shared" si="0"/>
        <v>37-46</v>
      </c>
      <c r="D31">
        <f t="shared" si="1"/>
        <v>-0.83</v>
      </c>
      <c r="E31">
        <v>1</v>
      </c>
      <c r="F31">
        <f t="shared" si="2"/>
        <v>0.38</v>
      </c>
      <c r="G31">
        <v>3</v>
      </c>
      <c r="H31">
        <f t="shared" si="3"/>
        <v>1.1599999999999999</v>
      </c>
      <c r="I31">
        <v>110</v>
      </c>
      <c r="J31" s="2" t="str">
        <f t="shared" si="4"/>
        <v>94-120</v>
      </c>
      <c r="K31" s="2">
        <f t="shared" si="5"/>
        <v>-0.32</v>
      </c>
      <c r="L31">
        <v>167</v>
      </c>
      <c r="M31" t="str">
        <f t="shared" si="6"/>
        <v>126-200</v>
      </c>
      <c r="N31">
        <f t="shared" si="7"/>
        <v>-0.16</v>
      </c>
      <c r="O31">
        <v>0</v>
      </c>
      <c r="P31">
        <f t="shared" si="8"/>
        <v>-0.02</v>
      </c>
      <c r="Q31">
        <v>2</v>
      </c>
      <c r="R31">
        <f t="shared" si="9"/>
        <v>0.33</v>
      </c>
      <c r="S31">
        <v>114</v>
      </c>
      <c r="T31" t="str">
        <f t="shared" si="10"/>
        <v>101-130</v>
      </c>
      <c r="U31">
        <f t="shared" si="11"/>
        <v>1.1499999999999999</v>
      </c>
      <c r="V31">
        <v>1</v>
      </c>
      <c r="W31">
        <f t="shared" si="12"/>
        <v>1.36</v>
      </c>
      <c r="X31">
        <v>2</v>
      </c>
      <c r="Y31" t="str">
        <f t="shared" si="13"/>
        <v>1.6-2.8</v>
      </c>
      <c r="Z31">
        <f t="shared" si="14"/>
        <v>0.99</v>
      </c>
      <c r="AA31">
        <v>1</v>
      </c>
      <c r="AB31">
        <f t="shared" si="15"/>
        <v>0.78</v>
      </c>
      <c r="AC31">
        <v>0</v>
      </c>
      <c r="AD31">
        <f t="shared" si="16"/>
        <v>-0.87</v>
      </c>
      <c r="AE31">
        <v>3</v>
      </c>
      <c r="AF31">
        <f t="shared" si="17"/>
        <v>1.32</v>
      </c>
      <c r="AG31">
        <v>1</v>
      </c>
      <c r="AH31" t="str">
        <f t="shared" si="18"/>
        <v>Yes</v>
      </c>
    </row>
    <row r="32" spans="1:34">
      <c r="A32">
        <v>31</v>
      </c>
      <c r="B32">
        <v>69</v>
      </c>
      <c r="C32" t="str">
        <f t="shared" si="0"/>
        <v>66+</v>
      </c>
      <c r="D32">
        <f t="shared" si="1"/>
        <v>0.17</v>
      </c>
      <c r="E32">
        <v>0</v>
      </c>
      <c r="F32">
        <f t="shared" si="2"/>
        <v>-0.89</v>
      </c>
      <c r="G32">
        <v>0</v>
      </c>
      <c r="H32">
        <f t="shared" si="3"/>
        <v>-0.66</v>
      </c>
      <c r="I32">
        <v>140</v>
      </c>
      <c r="J32" s="2" t="str">
        <f t="shared" si="4"/>
        <v>121-150</v>
      </c>
      <c r="K32" s="2">
        <f t="shared" si="5"/>
        <v>0.04</v>
      </c>
      <c r="L32">
        <v>239</v>
      </c>
      <c r="M32" t="str">
        <f t="shared" si="6"/>
        <v>201-250</v>
      </c>
      <c r="N32">
        <f t="shared" si="7"/>
        <v>0.17</v>
      </c>
      <c r="O32">
        <v>0</v>
      </c>
      <c r="P32">
        <f t="shared" si="8"/>
        <v>-0.02</v>
      </c>
      <c r="Q32">
        <v>0</v>
      </c>
      <c r="R32">
        <f t="shared" si="9"/>
        <v>-0.36</v>
      </c>
      <c r="S32">
        <v>151</v>
      </c>
      <c r="T32" t="str">
        <f t="shared" si="10"/>
        <v>131-160</v>
      </c>
      <c r="U32">
        <f t="shared" si="11"/>
        <v>0.2</v>
      </c>
      <c r="V32">
        <v>0</v>
      </c>
      <c r="W32">
        <f t="shared" si="12"/>
        <v>-0.64</v>
      </c>
      <c r="X32">
        <v>1.8</v>
      </c>
      <c r="Y32" t="str">
        <f t="shared" si="13"/>
        <v>1.6-2.8</v>
      </c>
      <c r="Z32">
        <f t="shared" si="14"/>
        <v>0.99</v>
      </c>
      <c r="AA32">
        <v>0</v>
      </c>
      <c r="AB32">
        <f t="shared" si="15"/>
        <v>-0.91</v>
      </c>
      <c r="AC32">
        <v>2</v>
      </c>
      <c r="AD32">
        <f t="shared" si="16"/>
        <v>1.65</v>
      </c>
      <c r="AE32">
        <v>1</v>
      </c>
      <c r="AF32">
        <f t="shared" si="17"/>
        <v>-1.06</v>
      </c>
      <c r="AG32">
        <v>0</v>
      </c>
      <c r="AH32" t="str">
        <f t="shared" si="18"/>
        <v>No</v>
      </c>
    </row>
    <row r="33" spans="1:34">
      <c r="A33">
        <v>32</v>
      </c>
      <c r="B33">
        <v>60</v>
      </c>
      <c r="C33" t="str">
        <f t="shared" si="0"/>
        <v>57-66</v>
      </c>
      <c r="D33">
        <f t="shared" si="1"/>
        <v>0.64</v>
      </c>
      <c r="E33">
        <v>1</v>
      </c>
      <c r="F33">
        <f t="shared" si="2"/>
        <v>0.38</v>
      </c>
      <c r="G33">
        <v>3</v>
      </c>
      <c r="H33">
        <f t="shared" si="3"/>
        <v>1.1599999999999999</v>
      </c>
      <c r="I33">
        <v>117</v>
      </c>
      <c r="J33" s="2" t="str">
        <f t="shared" si="4"/>
        <v>94-120</v>
      </c>
      <c r="K33" s="2">
        <f t="shared" si="5"/>
        <v>-0.32</v>
      </c>
      <c r="L33">
        <v>230</v>
      </c>
      <c r="M33" t="str">
        <f t="shared" si="6"/>
        <v>201-250</v>
      </c>
      <c r="N33">
        <f t="shared" si="7"/>
        <v>0.17</v>
      </c>
      <c r="O33">
        <v>1</v>
      </c>
      <c r="P33">
        <f t="shared" si="8"/>
        <v>0.12</v>
      </c>
      <c r="Q33">
        <v>0</v>
      </c>
      <c r="R33">
        <f t="shared" si="9"/>
        <v>-0.36</v>
      </c>
      <c r="S33">
        <v>160</v>
      </c>
      <c r="T33" t="str">
        <f t="shared" si="10"/>
        <v>131-160</v>
      </c>
      <c r="U33">
        <f t="shared" si="11"/>
        <v>0.2</v>
      </c>
      <c r="V33">
        <v>1</v>
      </c>
      <c r="W33">
        <f t="shared" si="12"/>
        <v>1.36</v>
      </c>
      <c r="X33">
        <v>1.4</v>
      </c>
      <c r="Y33" t="str">
        <f t="shared" si="13"/>
        <v>0.1-1.5</v>
      </c>
      <c r="Z33">
        <f t="shared" si="14"/>
        <v>-0.48</v>
      </c>
      <c r="AA33">
        <v>0</v>
      </c>
      <c r="AB33">
        <f t="shared" si="15"/>
        <v>-0.91</v>
      </c>
      <c r="AC33">
        <v>2</v>
      </c>
      <c r="AD33">
        <f t="shared" si="16"/>
        <v>1.65</v>
      </c>
      <c r="AE33">
        <v>3</v>
      </c>
      <c r="AF33">
        <f t="shared" si="17"/>
        <v>1.32</v>
      </c>
      <c r="AG33">
        <v>1</v>
      </c>
      <c r="AH33" t="str">
        <f t="shared" si="18"/>
        <v>Yes</v>
      </c>
    </row>
    <row r="34" spans="1:34">
      <c r="A34">
        <v>33</v>
      </c>
      <c r="B34">
        <v>64</v>
      </c>
      <c r="C34" t="str">
        <f t="shared" si="0"/>
        <v>57-66</v>
      </c>
      <c r="D34">
        <f t="shared" si="1"/>
        <v>0.64</v>
      </c>
      <c r="E34">
        <v>1</v>
      </c>
      <c r="F34">
        <f t="shared" si="2"/>
        <v>0.38</v>
      </c>
      <c r="G34">
        <v>2</v>
      </c>
      <c r="H34">
        <f t="shared" si="3"/>
        <v>-1.1599999999999999</v>
      </c>
      <c r="I34">
        <v>140</v>
      </c>
      <c r="J34" s="2" t="str">
        <f t="shared" si="4"/>
        <v>121-150</v>
      </c>
      <c r="K34" s="2">
        <f t="shared" si="5"/>
        <v>0.04</v>
      </c>
      <c r="L34">
        <v>335</v>
      </c>
      <c r="M34" t="str">
        <f t="shared" si="6"/>
        <v>351-400</v>
      </c>
      <c r="N34">
        <f t="shared" si="7"/>
        <v>0.17</v>
      </c>
      <c r="O34">
        <v>0</v>
      </c>
      <c r="P34">
        <f t="shared" si="8"/>
        <v>-0.02</v>
      </c>
      <c r="Q34">
        <v>0</v>
      </c>
      <c r="R34">
        <f t="shared" si="9"/>
        <v>-0.36</v>
      </c>
      <c r="S34">
        <v>158</v>
      </c>
      <c r="T34" t="str">
        <f t="shared" si="10"/>
        <v>131-160</v>
      </c>
      <c r="U34">
        <f t="shared" si="11"/>
        <v>0.2</v>
      </c>
      <c r="V34">
        <v>0</v>
      </c>
      <c r="W34">
        <f t="shared" si="12"/>
        <v>-0.64</v>
      </c>
      <c r="X34">
        <v>0</v>
      </c>
      <c r="Y34" t="str">
        <f t="shared" si="13"/>
        <v>0.1-1.5</v>
      </c>
      <c r="Z34">
        <f t="shared" si="14"/>
        <v>-0.48</v>
      </c>
      <c r="AA34">
        <v>0</v>
      </c>
      <c r="AB34">
        <f t="shared" si="15"/>
        <v>-0.91</v>
      </c>
      <c r="AC34">
        <v>0</v>
      </c>
      <c r="AD34">
        <f t="shared" si="16"/>
        <v>-0.87</v>
      </c>
      <c r="AE34">
        <v>1</v>
      </c>
      <c r="AF34">
        <f t="shared" si="17"/>
        <v>-1.06</v>
      </c>
      <c r="AG34">
        <v>1</v>
      </c>
      <c r="AH34" t="str">
        <f t="shared" si="18"/>
        <v>Yes</v>
      </c>
    </row>
    <row r="35" spans="1:34">
      <c r="A35">
        <v>34</v>
      </c>
      <c r="B35">
        <v>59</v>
      </c>
      <c r="C35" t="str">
        <f t="shared" si="0"/>
        <v>57-66</v>
      </c>
      <c r="D35">
        <f t="shared" si="1"/>
        <v>0.64</v>
      </c>
      <c r="E35">
        <v>1</v>
      </c>
      <c r="F35">
        <f t="shared" si="2"/>
        <v>0.38</v>
      </c>
      <c r="G35">
        <v>3</v>
      </c>
      <c r="H35">
        <f t="shared" si="3"/>
        <v>1.1599999999999999</v>
      </c>
      <c r="I35">
        <v>135</v>
      </c>
      <c r="J35" s="2" t="str">
        <f t="shared" si="4"/>
        <v>121-150</v>
      </c>
      <c r="K35" s="2">
        <f t="shared" si="5"/>
        <v>0.04</v>
      </c>
      <c r="L35">
        <v>234</v>
      </c>
      <c r="M35" t="str">
        <f t="shared" si="6"/>
        <v>201-250</v>
      </c>
      <c r="N35">
        <f t="shared" si="7"/>
        <v>0.17</v>
      </c>
      <c r="O35">
        <v>0</v>
      </c>
      <c r="P35">
        <f t="shared" si="8"/>
        <v>-0.02</v>
      </c>
      <c r="Q35">
        <v>0</v>
      </c>
      <c r="R35">
        <f t="shared" si="9"/>
        <v>-0.36</v>
      </c>
      <c r="S35">
        <v>161</v>
      </c>
      <c r="T35" t="str">
        <f t="shared" si="10"/>
        <v>161-190</v>
      </c>
      <c r="U35">
        <f t="shared" si="11"/>
        <v>-1.01</v>
      </c>
      <c r="V35">
        <v>0</v>
      </c>
      <c r="W35">
        <f t="shared" si="12"/>
        <v>-0.64</v>
      </c>
      <c r="X35">
        <v>0.5</v>
      </c>
      <c r="Y35" t="str">
        <f t="shared" si="13"/>
        <v>0.1-1.5</v>
      </c>
      <c r="Z35">
        <f t="shared" si="14"/>
        <v>-0.48</v>
      </c>
      <c r="AA35">
        <v>1</v>
      </c>
      <c r="AB35">
        <f t="shared" si="15"/>
        <v>0.78</v>
      </c>
      <c r="AC35">
        <v>0</v>
      </c>
      <c r="AD35">
        <f t="shared" si="16"/>
        <v>-0.87</v>
      </c>
      <c r="AE35">
        <v>3</v>
      </c>
      <c r="AF35">
        <f t="shared" si="17"/>
        <v>1.32</v>
      </c>
      <c r="AG35">
        <v>0</v>
      </c>
      <c r="AH35" t="str">
        <f t="shared" si="18"/>
        <v>No</v>
      </c>
    </row>
    <row r="36" spans="1:34">
      <c r="A36">
        <v>35</v>
      </c>
      <c r="B36">
        <v>44</v>
      </c>
      <c r="C36" t="str">
        <f t="shared" si="0"/>
        <v>37-46</v>
      </c>
      <c r="D36">
        <f t="shared" si="1"/>
        <v>-0.83</v>
      </c>
      <c r="E36">
        <v>1</v>
      </c>
      <c r="F36">
        <f t="shared" si="2"/>
        <v>0.38</v>
      </c>
      <c r="G36">
        <v>2</v>
      </c>
      <c r="H36">
        <f t="shared" si="3"/>
        <v>-1.1599999999999999</v>
      </c>
      <c r="I36">
        <v>130</v>
      </c>
      <c r="J36" s="2" t="str">
        <f t="shared" si="4"/>
        <v>121-150</v>
      </c>
      <c r="K36" s="2">
        <f t="shared" si="5"/>
        <v>0.04</v>
      </c>
      <c r="L36">
        <v>233</v>
      </c>
      <c r="M36" t="str">
        <f t="shared" si="6"/>
        <v>201-250</v>
      </c>
      <c r="N36">
        <f t="shared" si="7"/>
        <v>0.17</v>
      </c>
      <c r="O36">
        <v>0</v>
      </c>
      <c r="P36">
        <f t="shared" si="8"/>
        <v>-0.02</v>
      </c>
      <c r="Q36">
        <v>0</v>
      </c>
      <c r="R36">
        <f t="shared" si="9"/>
        <v>-0.36</v>
      </c>
      <c r="S36">
        <v>179</v>
      </c>
      <c r="T36" t="str">
        <f t="shared" si="10"/>
        <v>161-190</v>
      </c>
      <c r="U36">
        <f t="shared" si="11"/>
        <v>-1.01</v>
      </c>
      <c r="V36">
        <v>1</v>
      </c>
      <c r="W36">
        <f t="shared" si="12"/>
        <v>1.36</v>
      </c>
      <c r="X36">
        <v>0.4</v>
      </c>
      <c r="Y36" t="str">
        <f t="shared" si="13"/>
        <v>0.1-1.5</v>
      </c>
      <c r="Z36">
        <f t="shared" si="14"/>
        <v>-0.48</v>
      </c>
      <c r="AA36">
        <v>0</v>
      </c>
      <c r="AB36">
        <f t="shared" si="15"/>
        <v>-0.91</v>
      </c>
      <c r="AC36">
        <v>0</v>
      </c>
      <c r="AD36">
        <f t="shared" si="16"/>
        <v>-0.87</v>
      </c>
      <c r="AE36">
        <v>1</v>
      </c>
      <c r="AF36">
        <f t="shared" si="17"/>
        <v>-1.06</v>
      </c>
      <c r="AG36">
        <v>0</v>
      </c>
      <c r="AH36" t="str">
        <f t="shared" si="18"/>
        <v>No</v>
      </c>
    </row>
    <row r="37" spans="1:34">
      <c r="A37">
        <v>36</v>
      </c>
      <c r="B37">
        <v>42</v>
      </c>
      <c r="C37" t="str">
        <f t="shared" si="0"/>
        <v>37-46</v>
      </c>
      <c r="D37">
        <f t="shared" si="1"/>
        <v>-0.83</v>
      </c>
      <c r="E37">
        <v>1</v>
      </c>
      <c r="F37">
        <f t="shared" si="2"/>
        <v>0.38</v>
      </c>
      <c r="G37">
        <v>3</v>
      </c>
      <c r="H37">
        <f t="shared" si="3"/>
        <v>1.1599999999999999</v>
      </c>
      <c r="I37">
        <v>140</v>
      </c>
      <c r="J37" s="2" t="str">
        <f t="shared" si="4"/>
        <v>121-150</v>
      </c>
      <c r="K37" s="2">
        <f t="shared" si="5"/>
        <v>0.04</v>
      </c>
      <c r="L37">
        <v>226</v>
      </c>
      <c r="M37" t="str">
        <f t="shared" si="6"/>
        <v>201-250</v>
      </c>
      <c r="N37">
        <f t="shared" si="7"/>
        <v>0.17</v>
      </c>
      <c r="O37">
        <v>0</v>
      </c>
      <c r="P37">
        <f t="shared" si="8"/>
        <v>-0.02</v>
      </c>
      <c r="Q37">
        <v>0</v>
      </c>
      <c r="R37">
        <f t="shared" si="9"/>
        <v>-0.36</v>
      </c>
      <c r="S37">
        <v>178</v>
      </c>
      <c r="T37" t="str">
        <f t="shared" si="10"/>
        <v>161-190</v>
      </c>
      <c r="U37">
        <f t="shared" si="11"/>
        <v>-1.01</v>
      </c>
      <c r="V37">
        <v>0</v>
      </c>
      <c r="W37">
        <f t="shared" si="12"/>
        <v>-0.64</v>
      </c>
      <c r="X37">
        <v>0</v>
      </c>
      <c r="Y37" t="str">
        <f t="shared" si="13"/>
        <v>0.1-1.5</v>
      </c>
      <c r="Z37">
        <f t="shared" si="14"/>
        <v>-0.48</v>
      </c>
      <c r="AA37">
        <v>0</v>
      </c>
      <c r="AB37">
        <f t="shared" si="15"/>
        <v>-0.91</v>
      </c>
      <c r="AC37">
        <v>0</v>
      </c>
      <c r="AD37">
        <f t="shared" si="16"/>
        <v>-0.87</v>
      </c>
      <c r="AE37">
        <v>1</v>
      </c>
      <c r="AF37">
        <f t="shared" si="17"/>
        <v>-1.06</v>
      </c>
      <c r="AG37">
        <v>0</v>
      </c>
      <c r="AH37" t="str">
        <f t="shared" si="18"/>
        <v>No</v>
      </c>
    </row>
    <row r="38" spans="1:34">
      <c r="A38">
        <v>37</v>
      </c>
      <c r="B38">
        <v>43</v>
      </c>
      <c r="C38" t="str">
        <f t="shared" si="0"/>
        <v>37-46</v>
      </c>
      <c r="D38">
        <f t="shared" si="1"/>
        <v>-0.83</v>
      </c>
      <c r="E38">
        <v>1</v>
      </c>
      <c r="F38">
        <f t="shared" si="2"/>
        <v>0.38</v>
      </c>
      <c r="G38">
        <v>3</v>
      </c>
      <c r="H38">
        <f t="shared" si="3"/>
        <v>1.1599999999999999</v>
      </c>
      <c r="I38">
        <v>120</v>
      </c>
      <c r="J38" s="2" t="str">
        <f t="shared" si="4"/>
        <v>94-120</v>
      </c>
      <c r="K38" s="2">
        <f t="shared" si="5"/>
        <v>-0.32</v>
      </c>
      <c r="L38">
        <v>177</v>
      </c>
      <c r="M38" t="str">
        <f t="shared" si="6"/>
        <v>126-200</v>
      </c>
      <c r="N38">
        <f t="shared" si="7"/>
        <v>-0.16</v>
      </c>
      <c r="O38">
        <v>0</v>
      </c>
      <c r="P38">
        <f t="shared" si="8"/>
        <v>-0.02</v>
      </c>
      <c r="Q38">
        <v>2</v>
      </c>
      <c r="R38">
        <f t="shared" si="9"/>
        <v>0.33</v>
      </c>
      <c r="S38">
        <v>120</v>
      </c>
      <c r="T38" t="str">
        <f t="shared" si="10"/>
        <v>101-130</v>
      </c>
      <c r="U38">
        <f t="shared" si="11"/>
        <v>1.1499999999999999</v>
      </c>
      <c r="V38">
        <v>1</v>
      </c>
      <c r="W38">
        <f t="shared" si="12"/>
        <v>1.36</v>
      </c>
      <c r="X38">
        <v>2.5</v>
      </c>
      <c r="Y38" t="str">
        <f t="shared" si="13"/>
        <v>1.6-2.8</v>
      </c>
      <c r="Z38">
        <f t="shared" si="14"/>
        <v>0.99</v>
      </c>
      <c r="AA38">
        <v>1</v>
      </c>
      <c r="AB38">
        <f t="shared" si="15"/>
        <v>0.78</v>
      </c>
      <c r="AC38">
        <v>0</v>
      </c>
      <c r="AD38">
        <f t="shared" si="16"/>
        <v>-0.87</v>
      </c>
      <c r="AE38">
        <v>3</v>
      </c>
      <c r="AF38">
        <f t="shared" si="17"/>
        <v>1.32</v>
      </c>
      <c r="AG38">
        <v>1</v>
      </c>
      <c r="AH38" t="str">
        <f t="shared" si="18"/>
        <v>Yes</v>
      </c>
    </row>
    <row r="39" spans="1:34">
      <c r="A39">
        <v>38</v>
      </c>
      <c r="B39">
        <v>57</v>
      </c>
      <c r="C39" t="str">
        <f t="shared" si="0"/>
        <v>57-66</v>
      </c>
      <c r="D39">
        <f t="shared" si="1"/>
        <v>0.64</v>
      </c>
      <c r="E39">
        <v>1</v>
      </c>
      <c r="F39">
        <f t="shared" si="2"/>
        <v>0.38</v>
      </c>
      <c r="G39">
        <v>3</v>
      </c>
      <c r="H39">
        <f t="shared" si="3"/>
        <v>1.1599999999999999</v>
      </c>
      <c r="I39">
        <v>150</v>
      </c>
      <c r="J39" s="2" t="str">
        <f t="shared" si="4"/>
        <v>121-150</v>
      </c>
      <c r="K39" s="2">
        <f t="shared" si="5"/>
        <v>0.04</v>
      </c>
      <c r="L39">
        <v>276</v>
      </c>
      <c r="M39" t="str">
        <f t="shared" si="6"/>
        <v>251-300</v>
      </c>
      <c r="N39">
        <f t="shared" si="7"/>
        <v>0.48</v>
      </c>
      <c r="O39">
        <v>0</v>
      </c>
      <c r="P39">
        <f t="shared" si="8"/>
        <v>-0.02</v>
      </c>
      <c r="Q39">
        <v>2</v>
      </c>
      <c r="R39">
        <f t="shared" si="9"/>
        <v>0.33</v>
      </c>
      <c r="S39">
        <v>112</v>
      </c>
      <c r="T39" t="str">
        <f t="shared" si="10"/>
        <v>101-130</v>
      </c>
      <c r="U39">
        <f t="shared" si="11"/>
        <v>1.1499999999999999</v>
      </c>
      <c r="V39">
        <v>1</v>
      </c>
      <c r="W39">
        <f t="shared" si="12"/>
        <v>1.36</v>
      </c>
      <c r="X39">
        <v>0.6</v>
      </c>
      <c r="Y39" t="str">
        <f t="shared" si="13"/>
        <v>0.1-1.5</v>
      </c>
      <c r="Z39">
        <f t="shared" si="14"/>
        <v>-0.48</v>
      </c>
      <c r="AA39">
        <v>1</v>
      </c>
      <c r="AB39">
        <f t="shared" si="15"/>
        <v>0.78</v>
      </c>
      <c r="AC39">
        <v>1</v>
      </c>
      <c r="AD39">
        <f t="shared" si="16"/>
        <v>0.91</v>
      </c>
      <c r="AE39">
        <v>2</v>
      </c>
      <c r="AF39">
        <f t="shared" si="17"/>
        <v>0.86</v>
      </c>
      <c r="AG39">
        <v>1</v>
      </c>
      <c r="AH39" t="str">
        <f t="shared" si="18"/>
        <v>Yes</v>
      </c>
    </row>
    <row r="40" spans="1:34">
      <c r="A40">
        <v>39</v>
      </c>
      <c r="B40">
        <v>55</v>
      </c>
      <c r="C40" t="str">
        <f t="shared" si="0"/>
        <v>47-56</v>
      </c>
      <c r="D40">
        <f t="shared" si="1"/>
        <v>-0.28000000000000003</v>
      </c>
      <c r="E40">
        <v>1</v>
      </c>
      <c r="F40">
        <f t="shared" si="2"/>
        <v>0.38</v>
      </c>
      <c r="G40">
        <v>3</v>
      </c>
      <c r="H40">
        <f t="shared" si="3"/>
        <v>1.1599999999999999</v>
      </c>
      <c r="I40">
        <v>132</v>
      </c>
      <c r="J40" s="2" t="str">
        <f t="shared" si="4"/>
        <v>121-150</v>
      </c>
      <c r="K40" s="2">
        <f t="shared" si="5"/>
        <v>0.04</v>
      </c>
      <c r="L40">
        <v>353</v>
      </c>
      <c r="M40" t="str">
        <f t="shared" si="6"/>
        <v>400+</v>
      </c>
      <c r="N40">
        <f t="shared" si="7"/>
        <v>-0.35</v>
      </c>
      <c r="O40">
        <v>0</v>
      </c>
      <c r="P40">
        <f t="shared" si="8"/>
        <v>-0.02</v>
      </c>
      <c r="Q40">
        <v>0</v>
      </c>
      <c r="R40">
        <f t="shared" si="9"/>
        <v>-0.36</v>
      </c>
      <c r="S40">
        <v>132</v>
      </c>
      <c r="T40" t="str">
        <f t="shared" si="10"/>
        <v>131-160</v>
      </c>
      <c r="U40">
        <f t="shared" si="11"/>
        <v>0.2</v>
      </c>
      <c r="V40">
        <v>1</v>
      </c>
      <c r="W40">
        <f t="shared" si="12"/>
        <v>1.36</v>
      </c>
      <c r="X40">
        <v>1.2</v>
      </c>
      <c r="Y40" t="str">
        <f t="shared" si="13"/>
        <v>0.1-1.5</v>
      </c>
      <c r="Z40">
        <f t="shared" si="14"/>
        <v>-0.48</v>
      </c>
      <c r="AA40">
        <v>1</v>
      </c>
      <c r="AB40">
        <f t="shared" si="15"/>
        <v>0.78</v>
      </c>
      <c r="AC40">
        <v>1</v>
      </c>
      <c r="AD40">
        <f t="shared" si="16"/>
        <v>0.91</v>
      </c>
      <c r="AE40">
        <v>3</v>
      </c>
      <c r="AF40">
        <f t="shared" si="17"/>
        <v>1.32</v>
      </c>
      <c r="AG40">
        <v>1</v>
      </c>
      <c r="AH40" t="str">
        <f t="shared" si="18"/>
        <v>Yes</v>
      </c>
    </row>
    <row r="41" spans="1:34">
      <c r="A41">
        <v>40</v>
      </c>
      <c r="B41">
        <v>61</v>
      </c>
      <c r="C41" t="str">
        <f t="shared" si="0"/>
        <v>57-66</v>
      </c>
      <c r="D41">
        <f t="shared" si="1"/>
        <v>0.64</v>
      </c>
      <c r="E41">
        <v>1</v>
      </c>
      <c r="F41">
        <f t="shared" si="2"/>
        <v>0.38</v>
      </c>
      <c r="G41">
        <v>2</v>
      </c>
      <c r="H41">
        <f t="shared" si="3"/>
        <v>-1.1599999999999999</v>
      </c>
      <c r="I41">
        <v>150</v>
      </c>
      <c r="J41" s="2" t="str">
        <f t="shared" si="4"/>
        <v>121-150</v>
      </c>
      <c r="K41" s="2">
        <f t="shared" si="5"/>
        <v>0.04</v>
      </c>
      <c r="L41">
        <v>243</v>
      </c>
      <c r="M41" t="str">
        <f t="shared" si="6"/>
        <v>201-250</v>
      </c>
      <c r="N41">
        <f t="shared" si="7"/>
        <v>0.17</v>
      </c>
      <c r="O41">
        <v>1</v>
      </c>
      <c r="P41">
        <f t="shared" si="8"/>
        <v>0.12</v>
      </c>
      <c r="Q41">
        <v>0</v>
      </c>
      <c r="R41">
        <f t="shared" si="9"/>
        <v>-0.36</v>
      </c>
      <c r="S41">
        <v>137</v>
      </c>
      <c r="T41" t="str">
        <f t="shared" si="10"/>
        <v>131-160</v>
      </c>
      <c r="U41">
        <f t="shared" si="11"/>
        <v>0.2</v>
      </c>
      <c r="V41">
        <v>1</v>
      </c>
      <c r="W41">
        <f t="shared" si="12"/>
        <v>1.36</v>
      </c>
      <c r="X41">
        <v>1</v>
      </c>
      <c r="Y41" t="str">
        <f t="shared" si="13"/>
        <v>0.1-1.5</v>
      </c>
      <c r="Z41">
        <f t="shared" si="14"/>
        <v>-0.48</v>
      </c>
      <c r="AA41">
        <v>1</v>
      </c>
      <c r="AB41">
        <f t="shared" si="15"/>
        <v>0.78</v>
      </c>
      <c r="AC41">
        <v>0</v>
      </c>
      <c r="AD41">
        <f t="shared" si="16"/>
        <v>-0.87</v>
      </c>
      <c r="AE41">
        <v>1</v>
      </c>
      <c r="AF41">
        <f t="shared" si="17"/>
        <v>-1.06</v>
      </c>
      <c r="AG41">
        <v>0</v>
      </c>
      <c r="AH41" t="str">
        <f t="shared" si="18"/>
        <v>No</v>
      </c>
    </row>
    <row r="42" spans="1:34">
      <c r="A42">
        <v>41</v>
      </c>
      <c r="B42">
        <v>65</v>
      </c>
      <c r="C42" t="str">
        <f t="shared" si="0"/>
        <v>57-66</v>
      </c>
      <c r="D42">
        <f t="shared" si="1"/>
        <v>0.64</v>
      </c>
      <c r="E42">
        <v>0</v>
      </c>
      <c r="F42">
        <f t="shared" si="2"/>
        <v>-0.89</v>
      </c>
      <c r="G42">
        <v>3</v>
      </c>
      <c r="H42">
        <f t="shared" si="3"/>
        <v>1.1599999999999999</v>
      </c>
      <c r="I42">
        <v>150</v>
      </c>
      <c r="J42" s="2" t="str">
        <f t="shared" si="4"/>
        <v>121-150</v>
      </c>
      <c r="K42" s="2">
        <f t="shared" si="5"/>
        <v>0.04</v>
      </c>
      <c r="L42">
        <v>225</v>
      </c>
      <c r="M42" t="str">
        <f t="shared" si="6"/>
        <v>201-250</v>
      </c>
      <c r="N42">
        <f t="shared" si="7"/>
        <v>0.17</v>
      </c>
      <c r="O42">
        <v>0</v>
      </c>
      <c r="P42">
        <f t="shared" si="8"/>
        <v>-0.02</v>
      </c>
      <c r="Q42">
        <v>2</v>
      </c>
      <c r="R42">
        <f t="shared" si="9"/>
        <v>0.33</v>
      </c>
      <c r="S42">
        <v>114</v>
      </c>
      <c r="T42" t="str">
        <f t="shared" si="10"/>
        <v>101-130</v>
      </c>
      <c r="U42">
        <f t="shared" si="11"/>
        <v>1.1499999999999999</v>
      </c>
      <c r="V42">
        <v>0</v>
      </c>
      <c r="W42">
        <f t="shared" si="12"/>
        <v>-0.64</v>
      </c>
      <c r="X42">
        <v>1</v>
      </c>
      <c r="Y42" t="str">
        <f t="shared" si="13"/>
        <v>0.1-1.5</v>
      </c>
      <c r="Z42">
        <f t="shared" si="14"/>
        <v>-0.48</v>
      </c>
      <c r="AA42">
        <v>1</v>
      </c>
      <c r="AB42">
        <f t="shared" si="15"/>
        <v>0.78</v>
      </c>
      <c r="AC42">
        <v>3</v>
      </c>
      <c r="AD42">
        <f t="shared" si="16"/>
        <v>1.9</v>
      </c>
      <c r="AE42">
        <v>3</v>
      </c>
      <c r="AF42">
        <f t="shared" si="17"/>
        <v>1.32</v>
      </c>
      <c r="AG42">
        <v>1</v>
      </c>
      <c r="AH42" t="str">
        <f t="shared" si="18"/>
        <v>Yes</v>
      </c>
    </row>
    <row r="43" spans="1:34">
      <c r="A43">
        <v>42</v>
      </c>
      <c r="B43">
        <v>40</v>
      </c>
      <c r="C43" t="str">
        <f t="shared" si="0"/>
        <v>37-46</v>
      </c>
      <c r="D43">
        <f t="shared" si="1"/>
        <v>-0.83</v>
      </c>
      <c r="E43">
        <v>1</v>
      </c>
      <c r="F43">
        <f t="shared" si="2"/>
        <v>0.38</v>
      </c>
      <c r="G43">
        <v>0</v>
      </c>
      <c r="H43">
        <f t="shared" si="3"/>
        <v>-0.66</v>
      </c>
      <c r="I43">
        <v>140</v>
      </c>
      <c r="J43" s="2" t="str">
        <f t="shared" si="4"/>
        <v>121-150</v>
      </c>
      <c r="K43" s="2">
        <f t="shared" si="5"/>
        <v>0.04</v>
      </c>
      <c r="L43">
        <v>199</v>
      </c>
      <c r="M43" t="str">
        <f t="shared" si="6"/>
        <v>126-200</v>
      </c>
      <c r="N43">
        <f t="shared" si="7"/>
        <v>-0.16</v>
      </c>
      <c r="O43">
        <v>0</v>
      </c>
      <c r="P43">
        <f t="shared" si="8"/>
        <v>-0.02</v>
      </c>
      <c r="Q43">
        <v>0</v>
      </c>
      <c r="R43">
        <f t="shared" si="9"/>
        <v>-0.36</v>
      </c>
      <c r="S43">
        <v>178</v>
      </c>
      <c r="T43" t="str">
        <f t="shared" si="10"/>
        <v>161-190</v>
      </c>
      <c r="U43">
        <f t="shared" si="11"/>
        <v>-1.01</v>
      </c>
      <c r="V43">
        <v>1</v>
      </c>
      <c r="W43">
        <f t="shared" si="12"/>
        <v>1.36</v>
      </c>
      <c r="X43">
        <v>1.4</v>
      </c>
      <c r="Y43" t="str">
        <f t="shared" si="13"/>
        <v>0.1-1.5</v>
      </c>
      <c r="Z43">
        <f t="shared" si="14"/>
        <v>-0.48</v>
      </c>
      <c r="AA43">
        <v>0</v>
      </c>
      <c r="AB43">
        <f t="shared" si="15"/>
        <v>-0.91</v>
      </c>
      <c r="AC43">
        <v>0</v>
      </c>
      <c r="AD43">
        <f t="shared" si="16"/>
        <v>-0.87</v>
      </c>
      <c r="AE43">
        <v>3</v>
      </c>
      <c r="AF43">
        <f t="shared" si="17"/>
        <v>1.32</v>
      </c>
      <c r="AG43">
        <v>0</v>
      </c>
      <c r="AH43" t="str">
        <f t="shared" si="18"/>
        <v>No</v>
      </c>
    </row>
    <row r="44" spans="1:34">
      <c r="A44">
        <v>43</v>
      </c>
      <c r="B44">
        <v>71</v>
      </c>
      <c r="C44" t="str">
        <f t="shared" si="0"/>
        <v>66+</v>
      </c>
      <c r="D44">
        <f t="shared" si="1"/>
        <v>0.17</v>
      </c>
      <c r="E44">
        <v>0</v>
      </c>
      <c r="F44">
        <f t="shared" si="2"/>
        <v>-0.89</v>
      </c>
      <c r="G44">
        <v>1</v>
      </c>
      <c r="H44">
        <f t="shared" si="3"/>
        <v>-1.35</v>
      </c>
      <c r="I44">
        <v>160</v>
      </c>
      <c r="J44" s="2" t="str">
        <f t="shared" si="4"/>
        <v>151-180</v>
      </c>
      <c r="K44" s="2">
        <f t="shared" si="5"/>
        <v>0.56999999999999995</v>
      </c>
      <c r="L44">
        <v>302</v>
      </c>
      <c r="M44" t="str">
        <f t="shared" si="6"/>
        <v>351-400</v>
      </c>
      <c r="N44">
        <f t="shared" si="7"/>
        <v>0.17</v>
      </c>
      <c r="O44">
        <v>0</v>
      </c>
      <c r="P44">
        <f t="shared" si="8"/>
        <v>-0.02</v>
      </c>
      <c r="Q44">
        <v>0</v>
      </c>
      <c r="R44">
        <f t="shared" si="9"/>
        <v>-0.36</v>
      </c>
      <c r="S44">
        <v>162</v>
      </c>
      <c r="T44" t="str">
        <f t="shared" si="10"/>
        <v>161-190</v>
      </c>
      <c r="U44">
        <f t="shared" si="11"/>
        <v>-1.01</v>
      </c>
      <c r="V44">
        <v>0</v>
      </c>
      <c r="W44">
        <f t="shared" si="12"/>
        <v>-0.64</v>
      </c>
      <c r="X44">
        <v>0.4</v>
      </c>
      <c r="Y44" t="str">
        <f t="shared" si="13"/>
        <v>0.1-1.5</v>
      </c>
      <c r="Z44">
        <f t="shared" si="14"/>
        <v>-0.48</v>
      </c>
      <c r="AA44">
        <v>0</v>
      </c>
      <c r="AB44">
        <f t="shared" si="15"/>
        <v>-0.91</v>
      </c>
      <c r="AC44">
        <v>2</v>
      </c>
      <c r="AD44">
        <f t="shared" si="16"/>
        <v>1.65</v>
      </c>
      <c r="AE44">
        <v>1</v>
      </c>
      <c r="AF44">
        <f t="shared" si="17"/>
        <v>-1.06</v>
      </c>
      <c r="AG44">
        <v>0</v>
      </c>
      <c r="AH44" t="str">
        <f t="shared" si="18"/>
        <v>No</v>
      </c>
    </row>
    <row r="45" spans="1:34">
      <c r="A45">
        <v>44</v>
      </c>
      <c r="B45">
        <v>59</v>
      </c>
      <c r="C45" t="str">
        <f t="shared" si="0"/>
        <v>57-66</v>
      </c>
      <c r="D45">
        <f t="shared" si="1"/>
        <v>0.64</v>
      </c>
      <c r="E45">
        <v>1</v>
      </c>
      <c r="F45">
        <f t="shared" si="2"/>
        <v>0.38</v>
      </c>
      <c r="G45">
        <v>2</v>
      </c>
      <c r="H45">
        <f t="shared" si="3"/>
        <v>-1.1599999999999999</v>
      </c>
      <c r="I45">
        <v>150</v>
      </c>
      <c r="J45" s="2" t="str">
        <f t="shared" si="4"/>
        <v>121-150</v>
      </c>
      <c r="K45" s="2">
        <f t="shared" si="5"/>
        <v>0.04</v>
      </c>
      <c r="L45">
        <v>212</v>
      </c>
      <c r="M45" t="str">
        <f t="shared" si="6"/>
        <v>201-250</v>
      </c>
      <c r="N45">
        <f t="shared" si="7"/>
        <v>0.17</v>
      </c>
      <c r="O45">
        <v>1</v>
      </c>
      <c r="P45">
        <f t="shared" si="8"/>
        <v>0.12</v>
      </c>
      <c r="Q45">
        <v>0</v>
      </c>
      <c r="R45">
        <f t="shared" si="9"/>
        <v>-0.36</v>
      </c>
      <c r="S45">
        <v>157</v>
      </c>
      <c r="T45" t="str">
        <f t="shared" si="10"/>
        <v>131-160</v>
      </c>
      <c r="U45">
        <f t="shared" si="11"/>
        <v>0.2</v>
      </c>
      <c r="V45">
        <v>0</v>
      </c>
      <c r="W45">
        <f t="shared" si="12"/>
        <v>-0.64</v>
      </c>
      <c r="X45">
        <v>1.6</v>
      </c>
      <c r="Y45" t="str">
        <f t="shared" si="13"/>
        <v>1.6-2.8</v>
      </c>
      <c r="Z45">
        <f t="shared" si="14"/>
        <v>0.99</v>
      </c>
      <c r="AA45">
        <v>0</v>
      </c>
      <c r="AB45">
        <f t="shared" si="15"/>
        <v>-0.91</v>
      </c>
      <c r="AC45">
        <v>0</v>
      </c>
      <c r="AD45">
        <f t="shared" si="16"/>
        <v>-0.87</v>
      </c>
      <c r="AE45">
        <v>1</v>
      </c>
      <c r="AF45">
        <f t="shared" si="17"/>
        <v>-1.06</v>
      </c>
      <c r="AG45">
        <v>0</v>
      </c>
      <c r="AH45" t="str">
        <f t="shared" si="18"/>
        <v>No</v>
      </c>
    </row>
    <row r="46" spans="1:34">
      <c r="A46">
        <v>45</v>
      </c>
      <c r="B46">
        <v>61</v>
      </c>
      <c r="C46" t="str">
        <f t="shared" si="0"/>
        <v>57-66</v>
      </c>
      <c r="D46">
        <f t="shared" si="1"/>
        <v>0.64</v>
      </c>
      <c r="E46">
        <v>0</v>
      </c>
      <c r="F46">
        <f t="shared" si="2"/>
        <v>-0.89</v>
      </c>
      <c r="G46">
        <v>3</v>
      </c>
      <c r="H46">
        <f t="shared" si="3"/>
        <v>1.1599999999999999</v>
      </c>
      <c r="I46">
        <v>130</v>
      </c>
      <c r="J46" s="2" t="str">
        <f t="shared" si="4"/>
        <v>121-150</v>
      </c>
      <c r="K46" s="2">
        <f t="shared" si="5"/>
        <v>0.04</v>
      </c>
      <c r="L46">
        <v>330</v>
      </c>
      <c r="M46" t="str">
        <f t="shared" si="6"/>
        <v>351-400</v>
      </c>
      <c r="N46">
        <f t="shared" si="7"/>
        <v>0.17</v>
      </c>
      <c r="O46">
        <v>0</v>
      </c>
      <c r="P46">
        <f t="shared" si="8"/>
        <v>-0.02</v>
      </c>
      <c r="Q46">
        <v>2</v>
      </c>
      <c r="R46">
        <f t="shared" si="9"/>
        <v>0.33</v>
      </c>
      <c r="S46">
        <v>169</v>
      </c>
      <c r="T46" t="str">
        <f t="shared" si="10"/>
        <v>161-190</v>
      </c>
      <c r="U46">
        <f t="shared" si="11"/>
        <v>-1.01</v>
      </c>
      <c r="V46">
        <v>0</v>
      </c>
      <c r="W46">
        <f t="shared" si="12"/>
        <v>-0.64</v>
      </c>
      <c r="X46">
        <v>0</v>
      </c>
      <c r="Y46" t="str">
        <f t="shared" si="13"/>
        <v>0.1-1.5</v>
      </c>
      <c r="Z46">
        <f t="shared" si="14"/>
        <v>-0.48</v>
      </c>
      <c r="AA46">
        <v>0</v>
      </c>
      <c r="AB46">
        <f t="shared" si="15"/>
        <v>-0.91</v>
      </c>
      <c r="AC46">
        <v>0</v>
      </c>
      <c r="AD46">
        <f t="shared" si="16"/>
        <v>-0.87</v>
      </c>
      <c r="AE46">
        <v>1</v>
      </c>
      <c r="AF46">
        <f t="shared" si="17"/>
        <v>-1.06</v>
      </c>
      <c r="AG46">
        <v>1</v>
      </c>
      <c r="AH46" t="str">
        <f t="shared" si="18"/>
        <v>Yes</v>
      </c>
    </row>
    <row r="47" spans="1:34">
      <c r="A47">
        <v>46</v>
      </c>
      <c r="B47">
        <v>58</v>
      </c>
      <c r="C47" t="str">
        <f t="shared" si="0"/>
        <v>57-66</v>
      </c>
      <c r="D47">
        <f t="shared" si="1"/>
        <v>0.64</v>
      </c>
      <c r="E47">
        <v>1</v>
      </c>
      <c r="F47">
        <f t="shared" si="2"/>
        <v>0.38</v>
      </c>
      <c r="G47">
        <v>2</v>
      </c>
      <c r="H47">
        <f t="shared" si="3"/>
        <v>-1.1599999999999999</v>
      </c>
      <c r="I47">
        <v>112</v>
      </c>
      <c r="J47" s="2" t="str">
        <f t="shared" si="4"/>
        <v>94-120</v>
      </c>
      <c r="K47" s="2">
        <f t="shared" si="5"/>
        <v>-0.32</v>
      </c>
      <c r="L47">
        <v>230</v>
      </c>
      <c r="M47" t="str">
        <f t="shared" si="6"/>
        <v>201-250</v>
      </c>
      <c r="N47">
        <f t="shared" si="7"/>
        <v>0.17</v>
      </c>
      <c r="O47">
        <v>0</v>
      </c>
      <c r="P47">
        <f t="shared" si="8"/>
        <v>-0.02</v>
      </c>
      <c r="Q47">
        <v>2</v>
      </c>
      <c r="R47">
        <f t="shared" si="9"/>
        <v>0.33</v>
      </c>
      <c r="S47">
        <v>165</v>
      </c>
      <c r="T47" t="str">
        <f t="shared" si="10"/>
        <v>161-190</v>
      </c>
      <c r="U47">
        <f t="shared" si="11"/>
        <v>-1.01</v>
      </c>
      <c r="V47">
        <v>0</v>
      </c>
      <c r="W47">
        <f t="shared" si="12"/>
        <v>-0.64</v>
      </c>
      <c r="X47">
        <v>2.5</v>
      </c>
      <c r="Y47" t="str">
        <f t="shared" si="13"/>
        <v>1.6-2.8</v>
      </c>
      <c r="Z47">
        <f t="shared" si="14"/>
        <v>0.99</v>
      </c>
      <c r="AA47">
        <v>1</v>
      </c>
      <c r="AB47">
        <f t="shared" si="15"/>
        <v>0.78</v>
      </c>
      <c r="AC47">
        <v>1</v>
      </c>
      <c r="AD47">
        <f t="shared" si="16"/>
        <v>0.91</v>
      </c>
      <c r="AE47">
        <v>3</v>
      </c>
      <c r="AF47">
        <f t="shared" si="17"/>
        <v>1.32</v>
      </c>
      <c r="AG47">
        <v>1</v>
      </c>
      <c r="AH47" t="str">
        <f t="shared" si="18"/>
        <v>Yes</v>
      </c>
    </row>
    <row r="48" spans="1:34">
      <c r="A48">
        <v>47</v>
      </c>
      <c r="B48">
        <v>51</v>
      </c>
      <c r="C48" t="str">
        <f t="shared" si="0"/>
        <v>47-56</v>
      </c>
      <c r="D48">
        <f t="shared" si="1"/>
        <v>-0.28000000000000003</v>
      </c>
      <c r="E48">
        <v>1</v>
      </c>
      <c r="F48">
        <f t="shared" si="2"/>
        <v>0.38</v>
      </c>
      <c r="G48">
        <v>2</v>
      </c>
      <c r="H48">
        <f t="shared" si="3"/>
        <v>-1.1599999999999999</v>
      </c>
      <c r="I48">
        <v>110</v>
      </c>
      <c r="J48" s="2" t="str">
        <f t="shared" si="4"/>
        <v>94-120</v>
      </c>
      <c r="K48" s="2">
        <f t="shared" si="5"/>
        <v>-0.32</v>
      </c>
      <c r="L48">
        <v>175</v>
      </c>
      <c r="M48" t="str">
        <f t="shared" si="6"/>
        <v>126-200</v>
      </c>
      <c r="N48">
        <f t="shared" si="7"/>
        <v>-0.16</v>
      </c>
      <c r="O48">
        <v>0</v>
      </c>
      <c r="P48">
        <f t="shared" si="8"/>
        <v>-0.02</v>
      </c>
      <c r="Q48">
        <v>0</v>
      </c>
      <c r="R48">
        <f t="shared" si="9"/>
        <v>-0.36</v>
      </c>
      <c r="S48">
        <v>123</v>
      </c>
      <c r="T48" t="str">
        <f t="shared" si="10"/>
        <v>101-130</v>
      </c>
      <c r="U48">
        <f t="shared" si="11"/>
        <v>1.1499999999999999</v>
      </c>
      <c r="V48">
        <v>0</v>
      </c>
      <c r="W48">
        <f t="shared" si="12"/>
        <v>-0.64</v>
      </c>
      <c r="X48">
        <v>0.6</v>
      </c>
      <c r="Y48" t="str">
        <f t="shared" si="13"/>
        <v>0.1-1.5</v>
      </c>
      <c r="Z48">
        <f t="shared" si="14"/>
        <v>-0.48</v>
      </c>
      <c r="AA48">
        <v>0</v>
      </c>
      <c r="AB48">
        <f t="shared" si="15"/>
        <v>-0.91</v>
      </c>
      <c r="AC48">
        <v>0</v>
      </c>
      <c r="AD48">
        <f t="shared" si="16"/>
        <v>-0.87</v>
      </c>
      <c r="AE48">
        <v>1</v>
      </c>
      <c r="AF48">
        <f t="shared" si="17"/>
        <v>-1.06</v>
      </c>
      <c r="AG48">
        <v>0</v>
      </c>
      <c r="AH48" t="str">
        <f t="shared" si="18"/>
        <v>No</v>
      </c>
    </row>
    <row r="49" spans="1:34">
      <c r="A49">
        <v>48</v>
      </c>
      <c r="B49">
        <v>50</v>
      </c>
      <c r="C49" t="str">
        <f t="shared" si="0"/>
        <v>47-56</v>
      </c>
      <c r="D49">
        <f t="shared" si="1"/>
        <v>-0.28000000000000003</v>
      </c>
      <c r="E49">
        <v>1</v>
      </c>
      <c r="F49">
        <f t="shared" si="2"/>
        <v>0.38</v>
      </c>
      <c r="G49">
        <v>3</v>
      </c>
      <c r="H49">
        <f t="shared" si="3"/>
        <v>1.1599999999999999</v>
      </c>
      <c r="I49">
        <v>150</v>
      </c>
      <c r="J49" s="2" t="str">
        <f t="shared" si="4"/>
        <v>121-150</v>
      </c>
      <c r="K49" s="2">
        <f t="shared" si="5"/>
        <v>0.04</v>
      </c>
      <c r="L49">
        <v>243</v>
      </c>
      <c r="M49" t="str">
        <f t="shared" si="6"/>
        <v>201-250</v>
      </c>
      <c r="N49">
        <f t="shared" si="7"/>
        <v>0.17</v>
      </c>
      <c r="O49">
        <v>0</v>
      </c>
      <c r="P49">
        <f t="shared" si="8"/>
        <v>-0.02</v>
      </c>
      <c r="Q49">
        <v>2</v>
      </c>
      <c r="R49">
        <f t="shared" si="9"/>
        <v>0.33</v>
      </c>
      <c r="S49">
        <v>128</v>
      </c>
      <c r="T49" t="str">
        <f t="shared" si="10"/>
        <v>101-130</v>
      </c>
      <c r="U49">
        <f t="shared" si="11"/>
        <v>1.1499999999999999</v>
      </c>
      <c r="V49">
        <v>0</v>
      </c>
      <c r="W49">
        <f t="shared" si="12"/>
        <v>-0.64</v>
      </c>
      <c r="X49">
        <v>2.6</v>
      </c>
      <c r="Y49" t="str">
        <f t="shared" si="13"/>
        <v>1.6-2.8</v>
      </c>
      <c r="Z49">
        <f t="shared" si="14"/>
        <v>0.99</v>
      </c>
      <c r="AA49">
        <v>1</v>
      </c>
      <c r="AB49">
        <f t="shared" si="15"/>
        <v>0.78</v>
      </c>
      <c r="AC49">
        <v>0</v>
      </c>
      <c r="AD49">
        <f t="shared" si="16"/>
        <v>-0.87</v>
      </c>
      <c r="AE49">
        <v>3</v>
      </c>
      <c r="AF49">
        <f t="shared" si="17"/>
        <v>1.32</v>
      </c>
      <c r="AG49">
        <v>1</v>
      </c>
      <c r="AH49" t="str">
        <f t="shared" si="18"/>
        <v>Yes</v>
      </c>
    </row>
    <row r="50" spans="1:34">
      <c r="A50">
        <v>49</v>
      </c>
      <c r="B50">
        <v>65</v>
      </c>
      <c r="C50" t="str">
        <f t="shared" si="0"/>
        <v>57-66</v>
      </c>
      <c r="D50">
        <f t="shared" si="1"/>
        <v>0.64</v>
      </c>
      <c r="E50">
        <v>0</v>
      </c>
      <c r="F50">
        <f t="shared" si="2"/>
        <v>-0.89</v>
      </c>
      <c r="G50">
        <v>2</v>
      </c>
      <c r="H50">
        <f t="shared" si="3"/>
        <v>-1.1599999999999999</v>
      </c>
      <c r="I50">
        <v>140</v>
      </c>
      <c r="J50" s="2" t="str">
        <f t="shared" si="4"/>
        <v>121-150</v>
      </c>
      <c r="K50" s="2">
        <f t="shared" si="5"/>
        <v>0.04</v>
      </c>
      <c r="L50">
        <v>417</v>
      </c>
      <c r="M50" t="str">
        <f t="shared" si="6"/>
        <v>400+</v>
      </c>
      <c r="N50">
        <f t="shared" si="7"/>
        <v>-0.35</v>
      </c>
      <c r="O50">
        <v>1</v>
      </c>
      <c r="P50">
        <f t="shared" si="8"/>
        <v>0.12</v>
      </c>
      <c r="Q50">
        <v>2</v>
      </c>
      <c r="R50">
        <f t="shared" si="9"/>
        <v>0.33</v>
      </c>
      <c r="S50">
        <v>157</v>
      </c>
      <c r="T50" t="str">
        <f t="shared" si="10"/>
        <v>131-160</v>
      </c>
      <c r="U50">
        <f t="shared" si="11"/>
        <v>0.2</v>
      </c>
      <c r="V50">
        <v>0</v>
      </c>
      <c r="W50">
        <f t="shared" si="12"/>
        <v>-0.64</v>
      </c>
      <c r="X50">
        <v>0.8</v>
      </c>
      <c r="Y50" t="str">
        <f t="shared" si="13"/>
        <v>0.1-1.5</v>
      </c>
      <c r="Z50">
        <f t="shared" si="14"/>
        <v>-0.48</v>
      </c>
      <c r="AA50">
        <v>0</v>
      </c>
      <c r="AB50">
        <f t="shared" si="15"/>
        <v>-0.91</v>
      </c>
      <c r="AC50">
        <v>1</v>
      </c>
      <c r="AD50">
        <f t="shared" si="16"/>
        <v>0.91</v>
      </c>
      <c r="AE50">
        <v>1</v>
      </c>
      <c r="AF50">
        <f t="shared" si="17"/>
        <v>-1.06</v>
      </c>
      <c r="AG50">
        <v>0</v>
      </c>
      <c r="AH50" t="str">
        <f t="shared" si="18"/>
        <v>No</v>
      </c>
    </row>
    <row r="51" spans="1:34">
      <c r="A51">
        <v>50</v>
      </c>
      <c r="B51">
        <v>53</v>
      </c>
      <c r="C51" t="str">
        <f t="shared" si="0"/>
        <v>47-56</v>
      </c>
      <c r="D51">
        <f t="shared" si="1"/>
        <v>-0.28000000000000003</v>
      </c>
      <c r="E51">
        <v>1</v>
      </c>
      <c r="F51">
        <f t="shared" si="2"/>
        <v>0.38</v>
      </c>
      <c r="G51">
        <v>2</v>
      </c>
      <c r="H51">
        <f t="shared" si="3"/>
        <v>-1.1599999999999999</v>
      </c>
      <c r="I51">
        <v>130</v>
      </c>
      <c r="J51" s="2" t="str">
        <f t="shared" si="4"/>
        <v>121-150</v>
      </c>
      <c r="K51" s="2">
        <f t="shared" si="5"/>
        <v>0.04</v>
      </c>
      <c r="L51">
        <v>197</v>
      </c>
      <c r="M51" t="str">
        <f t="shared" si="6"/>
        <v>126-200</v>
      </c>
      <c r="N51">
        <f t="shared" si="7"/>
        <v>-0.16</v>
      </c>
      <c r="O51">
        <v>1</v>
      </c>
      <c r="P51">
        <f t="shared" si="8"/>
        <v>0.12</v>
      </c>
      <c r="Q51">
        <v>2</v>
      </c>
      <c r="R51">
        <f t="shared" si="9"/>
        <v>0.33</v>
      </c>
      <c r="S51">
        <v>152</v>
      </c>
      <c r="T51" t="str">
        <f t="shared" si="10"/>
        <v>131-160</v>
      </c>
      <c r="U51">
        <f t="shared" si="11"/>
        <v>0.2</v>
      </c>
      <c r="V51">
        <v>0</v>
      </c>
      <c r="W51">
        <f t="shared" si="12"/>
        <v>-0.64</v>
      </c>
      <c r="X51">
        <v>1.2</v>
      </c>
      <c r="Y51" t="str">
        <f t="shared" si="13"/>
        <v>0.1-1.5</v>
      </c>
      <c r="Z51">
        <f t="shared" si="14"/>
        <v>-0.48</v>
      </c>
      <c r="AA51">
        <v>2</v>
      </c>
      <c r="AB51">
        <f t="shared" si="15"/>
        <v>0.45</v>
      </c>
      <c r="AC51">
        <v>0</v>
      </c>
      <c r="AD51">
        <f t="shared" si="16"/>
        <v>-0.87</v>
      </c>
      <c r="AE51">
        <v>1</v>
      </c>
      <c r="AF51">
        <f t="shared" si="17"/>
        <v>-1.06</v>
      </c>
      <c r="AG51">
        <v>0</v>
      </c>
      <c r="AH51" t="str">
        <f t="shared" si="18"/>
        <v>No</v>
      </c>
    </row>
    <row r="52" spans="1:34">
      <c r="A52">
        <v>51</v>
      </c>
      <c r="B52">
        <v>41</v>
      </c>
      <c r="C52" t="str">
        <f t="shared" si="0"/>
        <v>37-46</v>
      </c>
      <c r="D52">
        <f t="shared" si="1"/>
        <v>-0.83</v>
      </c>
      <c r="E52">
        <v>0</v>
      </c>
      <c r="F52">
        <f t="shared" si="2"/>
        <v>-0.89</v>
      </c>
      <c r="G52">
        <v>1</v>
      </c>
      <c r="H52">
        <f t="shared" si="3"/>
        <v>-1.35</v>
      </c>
      <c r="I52">
        <v>105</v>
      </c>
      <c r="J52" s="2" t="str">
        <f t="shared" si="4"/>
        <v>94-120</v>
      </c>
      <c r="K52" s="2">
        <f t="shared" si="5"/>
        <v>-0.32</v>
      </c>
      <c r="L52">
        <v>198</v>
      </c>
      <c r="M52" t="str">
        <f t="shared" si="6"/>
        <v>126-200</v>
      </c>
      <c r="N52">
        <f t="shared" si="7"/>
        <v>-0.16</v>
      </c>
      <c r="O52">
        <v>0</v>
      </c>
      <c r="P52">
        <f t="shared" si="8"/>
        <v>-0.02</v>
      </c>
      <c r="Q52">
        <v>0</v>
      </c>
      <c r="R52">
        <f t="shared" si="9"/>
        <v>-0.36</v>
      </c>
      <c r="S52">
        <v>168</v>
      </c>
      <c r="T52" t="str">
        <f t="shared" si="10"/>
        <v>161-190</v>
      </c>
      <c r="U52">
        <f t="shared" si="11"/>
        <v>-1.01</v>
      </c>
      <c r="V52">
        <v>0</v>
      </c>
      <c r="W52">
        <f t="shared" si="12"/>
        <v>-0.64</v>
      </c>
      <c r="X52">
        <v>0</v>
      </c>
      <c r="Y52" t="str">
        <f t="shared" si="13"/>
        <v>0.1-1.5</v>
      </c>
      <c r="Z52">
        <f t="shared" si="14"/>
        <v>-0.48</v>
      </c>
      <c r="AA52">
        <v>0</v>
      </c>
      <c r="AB52">
        <f t="shared" si="15"/>
        <v>-0.91</v>
      </c>
      <c r="AC52">
        <v>1</v>
      </c>
      <c r="AD52">
        <f t="shared" si="16"/>
        <v>0.91</v>
      </c>
      <c r="AE52">
        <v>1</v>
      </c>
      <c r="AF52">
        <f t="shared" si="17"/>
        <v>-1.06</v>
      </c>
      <c r="AG52">
        <v>0</v>
      </c>
      <c r="AH52" t="str">
        <f t="shared" si="18"/>
        <v>No</v>
      </c>
    </row>
    <row r="53" spans="1:34">
      <c r="A53">
        <v>52</v>
      </c>
      <c r="B53">
        <v>65</v>
      </c>
      <c r="C53" t="str">
        <f t="shared" si="0"/>
        <v>57-66</v>
      </c>
      <c r="D53">
        <f t="shared" si="1"/>
        <v>0.64</v>
      </c>
      <c r="E53">
        <v>1</v>
      </c>
      <c r="F53">
        <f t="shared" si="2"/>
        <v>0.38</v>
      </c>
      <c r="G53">
        <v>3</v>
      </c>
      <c r="H53">
        <f t="shared" si="3"/>
        <v>1.1599999999999999</v>
      </c>
      <c r="I53">
        <v>120</v>
      </c>
      <c r="J53" s="2" t="str">
        <f t="shared" si="4"/>
        <v>94-120</v>
      </c>
      <c r="K53" s="2">
        <f t="shared" si="5"/>
        <v>-0.32</v>
      </c>
      <c r="L53">
        <v>177</v>
      </c>
      <c r="M53" t="str">
        <f t="shared" si="6"/>
        <v>126-200</v>
      </c>
      <c r="N53">
        <f t="shared" si="7"/>
        <v>-0.16</v>
      </c>
      <c r="O53">
        <v>0</v>
      </c>
      <c r="P53">
        <f t="shared" si="8"/>
        <v>-0.02</v>
      </c>
      <c r="Q53">
        <v>0</v>
      </c>
      <c r="R53">
        <f t="shared" si="9"/>
        <v>-0.36</v>
      </c>
      <c r="S53">
        <v>140</v>
      </c>
      <c r="T53" t="str">
        <f t="shared" si="10"/>
        <v>131-160</v>
      </c>
      <c r="U53">
        <f t="shared" si="11"/>
        <v>0.2</v>
      </c>
      <c r="V53">
        <v>0</v>
      </c>
      <c r="W53">
        <f t="shared" si="12"/>
        <v>-0.64</v>
      </c>
      <c r="X53">
        <v>0.4</v>
      </c>
      <c r="Y53" t="str">
        <f t="shared" si="13"/>
        <v>0.1-1.5</v>
      </c>
      <c r="Z53">
        <f t="shared" si="14"/>
        <v>-0.48</v>
      </c>
      <c r="AA53">
        <v>0</v>
      </c>
      <c r="AB53">
        <f t="shared" si="15"/>
        <v>-0.91</v>
      </c>
      <c r="AC53">
        <v>0</v>
      </c>
      <c r="AD53">
        <f t="shared" si="16"/>
        <v>-0.87</v>
      </c>
      <c r="AE53">
        <v>3</v>
      </c>
      <c r="AF53">
        <f t="shared" si="17"/>
        <v>1.32</v>
      </c>
      <c r="AG53">
        <v>0</v>
      </c>
      <c r="AH53" t="str">
        <f t="shared" si="18"/>
        <v>No</v>
      </c>
    </row>
    <row r="54" spans="1:34">
      <c r="A54">
        <v>53</v>
      </c>
      <c r="B54">
        <v>44</v>
      </c>
      <c r="C54" t="str">
        <f t="shared" si="0"/>
        <v>37-46</v>
      </c>
      <c r="D54">
        <f t="shared" si="1"/>
        <v>-0.83</v>
      </c>
      <c r="E54">
        <v>1</v>
      </c>
      <c r="F54">
        <f t="shared" si="2"/>
        <v>0.38</v>
      </c>
      <c r="G54">
        <v>3</v>
      </c>
      <c r="H54">
        <f t="shared" si="3"/>
        <v>1.1599999999999999</v>
      </c>
      <c r="I54">
        <v>112</v>
      </c>
      <c r="J54" s="2" t="str">
        <f t="shared" si="4"/>
        <v>94-120</v>
      </c>
      <c r="K54" s="2">
        <f t="shared" si="5"/>
        <v>-0.32</v>
      </c>
      <c r="L54">
        <v>290</v>
      </c>
      <c r="M54" t="str">
        <f t="shared" si="6"/>
        <v>251-300</v>
      </c>
      <c r="N54">
        <f t="shared" si="7"/>
        <v>0.48</v>
      </c>
      <c r="O54">
        <v>0</v>
      </c>
      <c r="P54">
        <f t="shared" si="8"/>
        <v>-0.02</v>
      </c>
      <c r="Q54">
        <v>2</v>
      </c>
      <c r="R54">
        <f t="shared" si="9"/>
        <v>0.33</v>
      </c>
      <c r="S54">
        <v>153</v>
      </c>
      <c r="T54" t="str">
        <f t="shared" si="10"/>
        <v>131-160</v>
      </c>
      <c r="U54">
        <f t="shared" si="11"/>
        <v>0.2</v>
      </c>
      <c r="V54">
        <v>0</v>
      </c>
      <c r="W54">
        <f t="shared" si="12"/>
        <v>-0.64</v>
      </c>
      <c r="X54">
        <v>0</v>
      </c>
      <c r="Y54" t="str">
        <f t="shared" si="13"/>
        <v>0.1-1.5</v>
      </c>
      <c r="Z54">
        <f t="shared" si="14"/>
        <v>-0.48</v>
      </c>
      <c r="AA54">
        <v>0</v>
      </c>
      <c r="AB54">
        <f t="shared" si="15"/>
        <v>-0.91</v>
      </c>
      <c r="AC54">
        <v>1</v>
      </c>
      <c r="AD54">
        <f t="shared" si="16"/>
        <v>0.91</v>
      </c>
      <c r="AE54">
        <v>1</v>
      </c>
      <c r="AF54">
        <f t="shared" si="17"/>
        <v>-1.06</v>
      </c>
      <c r="AG54">
        <v>1</v>
      </c>
      <c r="AH54" t="str">
        <f t="shared" si="18"/>
        <v>Yes</v>
      </c>
    </row>
    <row r="55" spans="1:34">
      <c r="A55">
        <v>54</v>
      </c>
      <c r="B55">
        <v>44</v>
      </c>
      <c r="C55" t="str">
        <f t="shared" si="0"/>
        <v>37-46</v>
      </c>
      <c r="D55">
        <f t="shared" si="1"/>
        <v>-0.83</v>
      </c>
      <c r="E55">
        <v>1</v>
      </c>
      <c r="F55">
        <f t="shared" si="2"/>
        <v>0.38</v>
      </c>
      <c r="G55">
        <v>1</v>
      </c>
      <c r="H55">
        <f t="shared" si="3"/>
        <v>-1.35</v>
      </c>
      <c r="I55">
        <v>130</v>
      </c>
      <c r="J55" s="2" t="str">
        <f t="shared" si="4"/>
        <v>121-150</v>
      </c>
      <c r="K55" s="2">
        <f t="shared" si="5"/>
        <v>0.04</v>
      </c>
      <c r="L55">
        <v>219</v>
      </c>
      <c r="M55" t="str">
        <f t="shared" si="6"/>
        <v>201-250</v>
      </c>
      <c r="N55">
        <f t="shared" si="7"/>
        <v>0.17</v>
      </c>
      <c r="O55">
        <v>0</v>
      </c>
      <c r="P55">
        <f t="shared" si="8"/>
        <v>-0.02</v>
      </c>
      <c r="Q55">
        <v>2</v>
      </c>
      <c r="R55">
        <f t="shared" si="9"/>
        <v>0.33</v>
      </c>
      <c r="S55">
        <v>188</v>
      </c>
      <c r="T55" t="str">
        <f t="shared" si="10"/>
        <v>161-190</v>
      </c>
      <c r="U55">
        <f t="shared" si="11"/>
        <v>-1.01</v>
      </c>
      <c r="V55">
        <v>0</v>
      </c>
      <c r="W55">
        <f t="shared" si="12"/>
        <v>-0.64</v>
      </c>
      <c r="X55">
        <v>0</v>
      </c>
      <c r="Y55" t="str">
        <f t="shared" si="13"/>
        <v>0.1-1.5</v>
      </c>
      <c r="Z55">
        <f t="shared" si="14"/>
        <v>-0.48</v>
      </c>
      <c r="AA55">
        <v>0</v>
      </c>
      <c r="AB55">
        <f t="shared" si="15"/>
        <v>-0.91</v>
      </c>
      <c r="AC55">
        <v>0</v>
      </c>
      <c r="AD55">
        <f t="shared" si="16"/>
        <v>-0.87</v>
      </c>
      <c r="AE55">
        <v>1</v>
      </c>
      <c r="AF55">
        <f t="shared" si="17"/>
        <v>-1.06</v>
      </c>
      <c r="AG55">
        <v>0</v>
      </c>
      <c r="AH55" t="str">
        <f t="shared" si="18"/>
        <v>No</v>
      </c>
    </row>
    <row r="56" spans="1:34">
      <c r="A56">
        <v>55</v>
      </c>
      <c r="B56">
        <v>60</v>
      </c>
      <c r="C56" t="str">
        <f t="shared" si="0"/>
        <v>57-66</v>
      </c>
      <c r="D56">
        <f t="shared" si="1"/>
        <v>0.64</v>
      </c>
      <c r="E56">
        <v>1</v>
      </c>
      <c r="F56">
        <f t="shared" si="2"/>
        <v>0.38</v>
      </c>
      <c r="G56">
        <v>3</v>
      </c>
      <c r="H56">
        <f t="shared" si="3"/>
        <v>1.1599999999999999</v>
      </c>
      <c r="I56">
        <v>130</v>
      </c>
      <c r="J56" s="2" t="str">
        <f t="shared" si="4"/>
        <v>121-150</v>
      </c>
      <c r="K56" s="2">
        <f t="shared" si="5"/>
        <v>0.04</v>
      </c>
      <c r="L56">
        <v>253</v>
      </c>
      <c r="M56" t="str">
        <f t="shared" si="6"/>
        <v>251-300</v>
      </c>
      <c r="N56">
        <f t="shared" si="7"/>
        <v>0.48</v>
      </c>
      <c r="O56">
        <v>0</v>
      </c>
      <c r="P56">
        <f t="shared" si="8"/>
        <v>-0.02</v>
      </c>
      <c r="Q56">
        <v>0</v>
      </c>
      <c r="R56">
        <f t="shared" si="9"/>
        <v>-0.36</v>
      </c>
      <c r="S56">
        <v>144</v>
      </c>
      <c r="T56" t="str">
        <f t="shared" si="10"/>
        <v>131-160</v>
      </c>
      <c r="U56">
        <f t="shared" si="11"/>
        <v>0.2</v>
      </c>
      <c r="V56">
        <v>1</v>
      </c>
      <c r="W56">
        <f t="shared" si="12"/>
        <v>1.36</v>
      </c>
      <c r="X56">
        <v>1.4</v>
      </c>
      <c r="Y56" t="str">
        <f t="shared" si="13"/>
        <v>0.1-1.5</v>
      </c>
      <c r="Z56">
        <f t="shared" si="14"/>
        <v>-0.48</v>
      </c>
      <c r="AA56">
        <v>0</v>
      </c>
      <c r="AB56">
        <f t="shared" si="15"/>
        <v>-0.91</v>
      </c>
      <c r="AC56">
        <v>1</v>
      </c>
      <c r="AD56">
        <f t="shared" si="16"/>
        <v>0.91</v>
      </c>
      <c r="AE56">
        <v>3</v>
      </c>
      <c r="AF56">
        <f t="shared" si="17"/>
        <v>1.32</v>
      </c>
      <c r="AG56">
        <v>1</v>
      </c>
      <c r="AH56" t="str">
        <f t="shared" si="18"/>
        <v>Yes</v>
      </c>
    </row>
    <row r="57" spans="1:34">
      <c r="A57">
        <v>56</v>
      </c>
      <c r="B57">
        <v>54</v>
      </c>
      <c r="C57" t="str">
        <f t="shared" si="0"/>
        <v>47-56</v>
      </c>
      <c r="D57">
        <f t="shared" si="1"/>
        <v>-0.28000000000000003</v>
      </c>
      <c r="E57">
        <v>1</v>
      </c>
      <c r="F57">
        <f t="shared" si="2"/>
        <v>0.38</v>
      </c>
      <c r="G57">
        <v>3</v>
      </c>
      <c r="H57">
        <f t="shared" si="3"/>
        <v>1.1599999999999999</v>
      </c>
      <c r="I57">
        <v>124</v>
      </c>
      <c r="J57" s="2" t="str">
        <f t="shared" si="4"/>
        <v>121-150</v>
      </c>
      <c r="K57" s="2">
        <f t="shared" si="5"/>
        <v>0.04</v>
      </c>
      <c r="L57">
        <v>266</v>
      </c>
      <c r="M57" t="str">
        <f t="shared" si="6"/>
        <v>251-300</v>
      </c>
      <c r="N57">
        <f t="shared" si="7"/>
        <v>0.48</v>
      </c>
      <c r="O57">
        <v>0</v>
      </c>
      <c r="P57">
        <f t="shared" si="8"/>
        <v>-0.02</v>
      </c>
      <c r="Q57">
        <v>2</v>
      </c>
      <c r="R57">
        <f t="shared" si="9"/>
        <v>0.33</v>
      </c>
      <c r="S57">
        <v>109</v>
      </c>
      <c r="T57" t="str">
        <f t="shared" si="10"/>
        <v>101-130</v>
      </c>
      <c r="U57">
        <f t="shared" si="11"/>
        <v>1.1499999999999999</v>
      </c>
      <c r="V57">
        <v>1</v>
      </c>
      <c r="W57">
        <f t="shared" si="12"/>
        <v>1.36</v>
      </c>
      <c r="X57">
        <v>2.2000000000000002</v>
      </c>
      <c r="Y57" t="str">
        <f t="shared" si="13"/>
        <v>1.6-2.8</v>
      </c>
      <c r="Z57">
        <f t="shared" si="14"/>
        <v>0.99</v>
      </c>
      <c r="AA57">
        <v>1</v>
      </c>
      <c r="AB57">
        <f t="shared" si="15"/>
        <v>0.78</v>
      </c>
      <c r="AC57">
        <v>1</v>
      </c>
      <c r="AD57">
        <f t="shared" si="16"/>
        <v>0.91</v>
      </c>
      <c r="AE57">
        <v>3</v>
      </c>
      <c r="AF57">
        <f t="shared" si="17"/>
        <v>1.32</v>
      </c>
      <c r="AG57">
        <v>1</v>
      </c>
      <c r="AH57" t="str">
        <f t="shared" si="18"/>
        <v>Yes</v>
      </c>
    </row>
    <row r="58" spans="1:34">
      <c r="A58">
        <v>57</v>
      </c>
      <c r="B58">
        <v>50</v>
      </c>
      <c r="C58" t="str">
        <f t="shared" si="0"/>
        <v>47-56</v>
      </c>
      <c r="D58">
        <f t="shared" si="1"/>
        <v>-0.28000000000000003</v>
      </c>
      <c r="E58">
        <v>1</v>
      </c>
      <c r="F58">
        <f t="shared" si="2"/>
        <v>0.38</v>
      </c>
      <c r="G58">
        <v>2</v>
      </c>
      <c r="H58">
        <f t="shared" si="3"/>
        <v>-1.1599999999999999</v>
      </c>
      <c r="I58">
        <v>140</v>
      </c>
      <c r="J58" s="2" t="str">
        <f t="shared" si="4"/>
        <v>121-150</v>
      </c>
      <c r="K58" s="2">
        <f t="shared" si="5"/>
        <v>0.04</v>
      </c>
      <c r="L58">
        <v>233</v>
      </c>
      <c r="M58" t="str">
        <f t="shared" si="6"/>
        <v>201-250</v>
      </c>
      <c r="N58">
        <f t="shared" si="7"/>
        <v>0.17</v>
      </c>
      <c r="O58">
        <v>0</v>
      </c>
      <c r="P58">
        <f t="shared" si="8"/>
        <v>-0.02</v>
      </c>
      <c r="Q58">
        <v>0</v>
      </c>
      <c r="R58">
        <f t="shared" si="9"/>
        <v>-0.36</v>
      </c>
      <c r="S58">
        <v>163</v>
      </c>
      <c r="T58" t="str">
        <f t="shared" si="10"/>
        <v>161-190</v>
      </c>
      <c r="U58">
        <f t="shared" si="11"/>
        <v>-1.01</v>
      </c>
      <c r="V58">
        <v>0</v>
      </c>
      <c r="W58">
        <f t="shared" si="12"/>
        <v>-0.64</v>
      </c>
      <c r="X58">
        <v>0.6</v>
      </c>
      <c r="Y58" t="str">
        <f t="shared" si="13"/>
        <v>0.1-1.5</v>
      </c>
      <c r="Z58">
        <f t="shared" si="14"/>
        <v>-0.48</v>
      </c>
      <c r="AA58">
        <v>1</v>
      </c>
      <c r="AB58">
        <f t="shared" si="15"/>
        <v>0.78</v>
      </c>
      <c r="AC58">
        <v>1</v>
      </c>
      <c r="AD58">
        <f t="shared" si="16"/>
        <v>0.91</v>
      </c>
      <c r="AE58">
        <v>3</v>
      </c>
      <c r="AF58">
        <f t="shared" si="17"/>
        <v>1.32</v>
      </c>
      <c r="AG58">
        <v>1</v>
      </c>
      <c r="AH58" t="str">
        <f t="shared" si="18"/>
        <v>Yes</v>
      </c>
    </row>
    <row r="59" spans="1:34">
      <c r="A59">
        <v>58</v>
      </c>
      <c r="B59">
        <v>41</v>
      </c>
      <c r="C59" t="str">
        <f t="shared" si="0"/>
        <v>37-46</v>
      </c>
      <c r="D59">
        <f t="shared" si="1"/>
        <v>-0.83</v>
      </c>
      <c r="E59">
        <v>1</v>
      </c>
      <c r="F59">
        <f t="shared" si="2"/>
        <v>0.38</v>
      </c>
      <c r="G59">
        <v>3</v>
      </c>
      <c r="H59">
        <f t="shared" si="3"/>
        <v>1.1599999999999999</v>
      </c>
      <c r="I59">
        <v>110</v>
      </c>
      <c r="J59" s="2" t="str">
        <f t="shared" si="4"/>
        <v>94-120</v>
      </c>
      <c r="K59" s="2">
        <f t="shared" si="5"/>
        <v>-0.32</v>
      </c>
      <c r="L59">
        <v>172</v>
      </c>
      <c r="M59" t="str">
        <f t="shared" si="6"/>
        <v>126-200</v>
      </c>
      <c r="N59">
        <f t="shared" si="7"/>
        <v>-0.16</v>
      </c>
      <c r="O59">
        <v>0</v>
      </c>
      <c r="P59">
        <f t="shared" si="8"/>
        <v>-0.02</v>
      </c>
      <c r="Q59">
        <v>2</v>
      </c>
      <c r="R59">
        <f t="shared" si="9"/>
        <v>0.33</v>
      </c>
      <c r="S59">
        <v>158</v>
      </c>
      <c r="T59" t="str">
        <f t="shared" si="10"/>
        <v>131-160</v>
      </c>
      <c r="U59">
        <f t="shared" si="11"/>
        <v>0.2</v>
      </c>
      <c r="V59">
        <v>0</v>
      </c>
      <c r="W59">
        <f t="shared" si="12"/>
        <v>-0.64</v>
      </c>
      <c r="X59">
        <v>0</v>
      </c>
      <c r="Y59" t="str">
        <f t="shared" si="13"/>
        <v>0.1-1.5</v>
      </c>
      <c r="Z59">
        <f t="shared" si="14"/>
        <v>-0.48</v>
      </c>
      <c r="AA59">
        <v>0</v>
      </c>
      <c r="AB59">
        <f t="shared" si="15"/>
        <v>-0.91</v>
      </c>
      <c r="AC59">
        <v>0</v>
      </c>
      <c r="AD59">
        <f t="shared" si="16"/>
        <v>-0.87</v>
      </c>
      <c r="AE59">
        <v>3</v>
      </c>
      <c r="AF59">
        <f t="shared" si="17"/>
        <v>1.32</v>
      </c>
      <c r="AG59">
        <v>1</v>
      </c>
      <c r="AH59" t="str">
        <f t="shared" si="18"/>
        <v>Yes</v>
      </c>
    </row>
    <row r="60" spans="1:34">
      <c r="A60">
        <v>59</v>
      </c>
      <c r="B60">
        <v>54</v>
      </c>
      <c r="C60" t="str">
        <f t="shared" si="0"/>
        <v>47-56</v>
      </c>
      <c r="D60">
        <f t="shared" si="1"/>
        <v>-0.28000000000000003</v>
      </c>
      <c r="E60">
        <v>1</v>
      </c>
      <c r="F60">
        <f t="shared" si="2"/>
        <v>0.38</v>
      </c>
      <c r="G60">
        <v>2</v>
      </c>
      <c r="H60">
        <f t="shared" si="3"/>
        <v>-1.1599999999999999</v>
      </c>
      <c r="I60">
        <v>125</v>
      </c>
      <c r="J60" s="2" t="str">
        <f t="shared" si="4"/>
        <v>121-150</v>
      </c>
      <c r="K60" s="2">
        <f t="shared" si="5"/>
        <v>0.04</v>
      </c>
      <c r="L60">
        <v>273</v>
      </c>
      <c r="M60" t="str">
        <f t="shared" si="6"/>
        <v>251-300</v>
      </c>
      <c r="N60">
        <f t="shared" si="7"/>
        <v>0.48</v>
      </c>
      <c r="O60">
        <v>0</v>
      </c>
      <c r="P60">
        <f t="shared" si="8"/>
        <v>-0.02</v>
      </c>
      <c r="Q60">
        <v>2</v>
      </c>
      <c r="R60">
        <f t="shared" si="9"/>
        <v>0.33</v>
      </c>
      <c r="S60">
        <v>152</v>
      </c>
      <c r="T60" t="str">
        <f t="shared" si="10"/>
        <v>131-160</v>
      </c>
      <c r="U60">
        <f t="shared" si="11"/>
        <v>0.2</v>
      </c>
      <c r="V60">
        <v>0</v>
      </c>
      <c r="W60">
        <f t="shared" si="12"/>
        <v>-0.64</v>
      </c>
      <c r="X60">
        <v>0.5</v>
      </c>
      <c r="Y60" t="str">
        <f t="shared" si="13"/>
        <v>0.1-1.5</v>
      </c>
      <c r="Z60">
        <f t="shared" si="14"/>
        <v>-0.48</v>
      </c>
      <c r="AA60">
        <v>2</v>
      </c>
      <c r="AB60">
        <f t="shared" si="15"/>
        <v>0.45</v>
      </c>
      <c r="AC60">
        <v>1</v>
      </c>
      <c r="AD60">
        <f t="shared" si="16"/>
        <v>0.91</v>
      </c>
      <c r="AE60">
        <v>1</v>
      </c>
      <c r="AF60">
        <f t="shared" si="17"/>
        <v>-1.06</v>
      </c>
      <c r="AG60">
        <v>0</v>
      </c>
      <c r="AH60" t="str">
        <f t="shared" si="18"/>
        <v>No</v>
      </c>
    </row>
    <row r="61" spans="1:34">
      <c r="A61">
        <v>60</v>
      </c>
      <c r="B61">
        <v>51</v>
      </c>
      <c r="C61" t="str">
        <f t="shared" si="0"/>
        <v>47-56</v>
      </c>
      <c r="D61">
        <f t="shared" si="1"/>
        <v>-0.28000000000000003</v>
      </c>
      <c r="E61">
        <v>1</v>
      </c>
      <c r="F61">
        <f t="shared" si="2"/>
        <v>0.38</v>
      </c>
      <c r="G61">
        <v>0</v>
      </c>
      <c r="H61">
        <f t="shared" si="3"/>
        <v>-0.66</v>
      </c>
      <c r="I61">
        <v>125</v>
      </c>
      <c r="J61" s="2" t="str">
        <f t="shared" si="4"/>
        <v>121-150</v>
      </c>
      <c r="K61" s="2">
        <f t="shared" si="5"/>
        <v>0.04</v>
      </c>
      <c r="L61">
        <v>213</v>
      </c>
      <c r="M61" t="str">
        <f t="shared" si="6"/>
        <v>201-250</v>
      </c>
      <c r="N61">
        <f t="shared" si="7"/>
        <v>0.17</v>
      </c>
      <c r="O61">
        <v>0</v>
      </c>
      <c r="P61">
        <f t="shared" si="8"/>
        <v>-0.02</v>
      </c>
      <c r="Q61">
        <v>2</v>
      </c>
      <c r="R61">
        <f t="shared" si="9"/>
        <v>0.33</v>
      </c>
      <c r="S61">
        <v>125</v>
      </c>
      <c r="T61" t="str">
        <f t="shared" si="10"/>
        <v>101-130</v>
      </c>
      <c r="U61">
        <f t="shared" si="11"/>
        <v>1.1499999999999999</v>
      </c>
      <c r="V61">
        <v>1</v>
      </c>
      <c r="W61">
        <f t="shared" si="12"/>
        <v>1.36</v>
      </c>
      <c r="X61">
        <v>1.4</v>
      </c>
      <c r="Y61" t="str">
        <f t="shared" si="13"/>
        <v>0.1-1.5</v>
      </c>
      <c r="Z61">
        <f t="shared" si="14"/>
        <v>-0.48</v>
      </c>
      <c r="AA61">
        <v>0</v>
      </c>
      <c r="AB61">
        <f t="shared" si="15"/>
        <v>-0.91</v>
      </c>
      <c r="AC61">
        <v>1</v>
      </c>
      <c r="AD61">
        <f t="shared" si="16"/>
        <v>0.91</v>
      </c>
      <c r="AE61">
        <v>1</v>
      </c>
      <c r="AF61">
        <f t="shared" si="17"/>
        <v>-1.06</v>
      </c>
      <c r="AG61">
        <v>0</v>
      </c>
      <c r="AH61" t="str">
        <f t="shared" si="18"/>
        <v>No</v>
      </c>
    </row>
    <row r="62" spans="1:34">
      <c r="A62">
        <v>61</v>
      </c>
      <c r="B62">
        <v>51</v>
      </c>
      <c r="C62" t="str">
        <f t="shared" si="0"/>
        <v>47-56</v>
      </c>
      <c r="D62">
        <f t="shared" si="1"/>
        <v>-0.28000000000000003</v>
      </c>
      <c r="E62">
        <v>0</v>
      </c>
      <c r="F62">
        <f t="shared" si="2"/>
        <v>-0.89</v>
      </c>
      <c r="G62">
        <v>3</v>
      </c>
      <c r="H62">
        <f t="shared" si="3"/>
        <v>1.1599999999999999</v>
      </c>
      <c r="I62">
        <v>130</v>
      </c>
      <c r="J62" s="2" t="str">
        <f t="shared" si="4"/>
        <v>121-150</v>
      </c>
      <c r="K62" s="2">
        <f t="shared" si="5"/>
        <v>0.04</v>
      </c>
      <c r="L62">
        <v>305</v>
      </c>
      <c r="M62" t="str">
        <f t="shared" si="6"/>
        <v>351-400</v>
      </c>
      <c r="N62">
        <f t="shared" si="7"/>
        <v>0.17</v>
      </c>
      <c r="O62">
        <v>0</v>
      </c>
      <c r="P62">
        <f t="shared" si="8"/>
        <v>-0.02</v>
      </c>
      <c r="Q62">
        <v>0</v>
      </c>
      <c r="R62">
        <f t="shared" si="9"/>
        <v>-0.36</v>
      </c>
      <c r="S62">
        <v>142</v>
      </c>
      <c r="T62" t="str">
        <f t="shared" si="10"/>
        <v>131-160</v>
      </c>
      <c r="U62">
        <f t="shared" si="11"/>
        <v>0.2</v>
      </c>
      <c r="V62">
        <v>1</v>
      </c>
      <c r="W62">
        <f t="shared" si="12"/>
        <v>1.36</v>
      </c>
      <c r="X62">
        <v>1.2</v>
      </c>
      <c r="Y62" t="str">
        <f t="shared" si="13"/>
        <v>0.1-1.5</v>
      </c>
      <c r="Z62">
        <f t="shared" si="14"/>
        <v>-0.48</v>
      </c>
      <c r="AA62">
        <v>1</v>
      </c>
      <c r="AB62">
        <f t="shared" si="15"/>
        <v>0.78</v>
      </c>
      <c r="AC62">
        <v>0</v>
      </c>
      <c r="AD62">
        <f t="shared" si="16"/>
        <v>-0.87</v>
      </c>
      <c r="AE62">
        <v>3</v>
      </c>
      <c r="AF62">
        <f t="shared" si="17"/>
        <v>1.32</v>
      </c>
      <c r="AG62">
        <v>1</v>
      </c>
      <c r="AH62" t="str">
        <f t="shared" si="18"/>
        <v>Yes</v>
      </c>
    </row>
    <row r="63" spans="1:34">
      <c r="A63">
        <v>62</v>
      </c>
      <c r="B63">
        <v>46</v>
      </c>
      <c r="C63" t="str">
        <f t="shared" si="0"/>
        <v>37-46</v>
      </c>
      <c r="D63">
        <f t="shared" si="1"/>
        <v>-0.83</v>
      </c>
      <c r="E63">
        <v>0</v>
      </c>
      <c r="F63">
        <f t="shared" si="2"/>
        <v>-0.89</v>
      </c>
      <c r="G63">
        <v>2</v>
      </c>
      <c r="H63">
        <f t="shared" si="3"/>
        <v>-1.1599999999999999</v>
      </c>
      <c r="I63">
        <v>142</v>
      </c>
      <c r="J63" s="2" t="str">
        <f t="shared" si="4"/>
        <v>121-150</v>
      </c>
      <c r="K63" s="2">
        <f t="shared" si="5"/>
        <v>0.04</v>
      </c>
      <c r="L63">
        <v>177</v>
      </c>
      <c r="M63" t="str">
        <f t="shared" si="6"/>
        <v>126-200</v>
      </c>
      <c r="N63">
        <f t="shared" si="7"/>
        <v>-0.16</v>
      </c>
      <c r="O63">
        <v>0</v>
      </c>
      <c r="P63">
        <f t="shared" si="8"/>
        <v>-0.02</v>
      </c>
      <c r="Q63">
        <v>2</v>
      </c>
      <c r="R63">
        <f t="shared" si="9"/>
        <v>0.33</v>
      </c>
      <c r="S63">
        <v>160</v>
      </c>
      <c r="T63" t="str">
        <f t="shared" si="10"/>
        <v>131-160</v>
      </c>
      <c r="U63">
        <f t="shared" si="11"/>
        <v>0.2</v>
      </c>
      <c r="V63">
        <v>1</v>
      </c>
      <c r="W63">
        <f t="shared" si="12"/>
        <v>1.36</v>
      </c>
      <c r="X63">
        <v>1.4</v>
      </c>
      <c r="Y63" t="str">
        <f t="shared" si="13"/>
        <v>0.1-1.5</v>
      </c>
      <c r="Z63">
        <f t="shared" si="14"/>
        <v>-0.48</v>
      </c>
      <c r="AA63">
        <v>2</v>
      </c>
      <c r="AB63">
        <f t="shared" si="15"/>
        <v>0.45</v>
      </c>
      <c r="AC63">
        <v>0</v>
      </c>
      <c r="AD63">
        <f t="shared" si="16"/>
        <v>-0.87</v>
      </c>
      <c r="AE63">
        <v>1</v>
      </c>
      <c r="AF63">
        <f t="shared" si="17"/>
        <v>-1.06</v>
      </c>
      <c r="AG63">
        <v>0</v>
      </c>
      <c r="AH63" t="str">
        <f t="shared" si="18"/>
        <v>No</v>
      </c>
    </row>
    <row r="64" spans="1:34">
      <c r="A64">
        <v>63</v>
      </c>
      <c r="B64">
        <v>58</v>
      </c>
      <c r="C64" t="str">
        <f t="shared" si="0"/>
        <v>57-66</v>
      </c>
      <c r="D64">
        <f t="shared" si="1"/>
        <v>0.64</v>
      </c>
      <c r="E64">
        <v>1</v>
      </c>
      <c r="F64">
        <f t="shared" si="2"/>
        <v>0.38</v>
      </c>
      <c r="G64">
        <v>3</v>
      </c>
      <c r="H64">
        <f t="shared" si="3"/>
        <v>1.1599999999999999</v>
      </c>
      <c r="I64">
        <v>128</v>
      </c>
      <c r="J64" s="2" t="str">
        <f t="shared" si="4"/>
        <v>121-150</v>
      </c>
      <c r="K64" s="2">
        <f t="shared" si="5"/>
        <v>0.04</v>
      </c>
      <c r="L64">
        <v>216</v>
      </c>
      <c r="M64" t="str">
        <f t="shared" si="6"/>
        <v>201-250</v>
      </c>
      <c r="N64">
        <f t="shared" si="7"/>
        <v>0.17</v>
      </c>
      <c r="O64">
        <v>0</v>
      </c>
      <c r="P64">
        <f t="shared" si="8"/>
        <v>-0.02</v>
      </c>
      <c r="Q64">
        <v>2</v>
      </c>
      <c r="R64">
        <f t="shared" si="9"/>
        <v>0.33</v>
      </c>
      <c r="S64">
        <v>131</v>
      </c>
      <c r="T64" t="str">
        <f t="shared" si="10"/>
        <v>131-160</v>
      </c>
      <c r="U64">
        <f t="shared" si="11"/>
        <v>0.2</v>
      </c>
      <c r="V64">
        <v>1</v>
      </c>
      <c r="W64">
        <f t="shared" si="12"/>
        <v>1.36</v>
      </c>
      <c r="X64">
        <v>2.2000000000000002</v>
      </c>
      <c r="Y64" t="str">
        <f t="shared" si="13"/>
        <v>1.6-2.8</v>
      </c>
      <c r="Z64">
        <f t="shared" si="14"/>
        <v>0.99</v>
      </c>
      <c r="AA64">
        <v>1</v>
      </c>
      <c r="AB64">
        <f t="shared" si="15"/>
        <v>0.78</v>
      </c>
      <c r="AC64">
        <v>3</v>
      </c>
      <c r="AD64">
        <f t="shared" si="16"/>
        <v>1.9</v>
      </c>
      <c r="AE64">
        <v>3</v>
      </c>
      <c r="AF64">
        <f t="shared" si="17"/>
        <v>1.32</v>
      </c>
      <c r="AG64">
        <v>1</v>
      </c>
      <c r="AH64" t="str">
        <f t="shared" si="18"/>
        <v>Yes</v>
      </c>
    </row>
    <row r="65" spans="1:34">
      <c r="A65">
        <v>64</v>
      </c>
      <c r="B65">
        <v>54</v>
      </c>
      <c r="C65" t="str">
        <f t="shared" si="0"/>
        <v>47-56</v>
      </c>
      <c r="D65">
        <f t="shared" si="1"/>
        <v>-0.28000000000000003</v>
      </c>
      <c r="E65">
        <v>0</v>
      </c>
      <c r="F65">
        <f t="shared" si="2"/>
        <v>-0.89</v>
      </c>
      <c r="G65">
        <v>2</v>
      </c>
      <c r="H65">
        <f t="shared" si="3"/>
        <v>-1.1599999999999999</v>
      </c>
      <c r="I65">
        <v>135</v>
      </c>
      <c r="J65" s="2" t="str">
        <f t="shared" si="4"/>
        <v>121-150</v>
      </c>
      <c r="K65" s="2">
        <f t="shared" si="5"/>
        <v>0.04</v>
      </c>
      <c r="L65">
        <v>304</v>
      </c>
      <c r="M65" t="str">
        <f t="shared" si="6"/>
        <v>351-400</v>
      </c>
      <c r="N65">
        <f t="shared" si="7"/>
        <v>0.17</v>
      </c>
      <c r="O65">
        <v>1</v>
      </c>
      <c r="P65">
        <f t="shared" si="8"/>
        <v>0.12</v>
      </c>
      <c r="Q65">
        <v>0</v>
      </c>
      <c r="R65">
        <f t="shared" si="9"/>
        <v>-0.36</v>
      </c>
      <c r="S65">
        <v>170</v>
      </c>
      <c r="T65" t="str">
        <f t="shared" si="10"/>
        <v>161-190</v>
      </c>
      <c r="U65">
        <f t="shared" si="11"/>
        <v>-1.01</v>
      </c>
      <c r="V65">
        <v>0</v>
      </c>
      <c r="W65">
        <f t="shared" si="12"/>
        <v>-0.64</v>
      </c>
      <c r="X65">
        <v>0</v>
      </c>
      <c r="Y65" t="str">
        <f t="shared" si="13"/>
        <v>0.1-1.5</v>
      </c>
      <c r="Z65">
        <f t="shared" si="14"/>
        <v>-0.48</v>
      </c>
      <c r="AA65">
        <v>0</v>
      </c>
      <c r="AB65">
        <f t="shared" si="15"/>
        <v>-0.91</v>
      </c>
      <c r="AC65">
        <v>0</v>
      </c>
      <c r="AD65">
        <f t="shared" si="16"/>
        <v>-0.87</v>
      </c>
      <c r="AE65">
        <v>1</v>
      </c>
      <c r="AF65">
        <f t="shared" si="17"/>
        <v>-1.06</v>
      </c>
      <c r="AG65">
        <v>0</v>
      </c>
      <c r="AH65" t="str">
        <f t="shared" si="18"/>
        <v>No</v>
      </c>
    </row>
    <row r="66" spans="1:34">
      <c r="A66">
        <v>65</v>
      </c>
      <c r="B66">
        <v>54</v>
      </c>
      <c r="C66" t="str">
        <f t="shared" si="0"/>
        <v>47-56</v>
      </c>
      <c r="D66">
        <f t="shared" si="1"/>
        <v>-0.28000000000000003</v>
      </c>
      <c r="E66">
        <v>1</v>
      </c>
      <c r="F66">
        <f t="shared" si="2"/>
        <v>0.38</v>
      </c>
      <c r="G66">
        <v>3</v>
      </c>
      <c r="H66">
        <f t="shared" si="3"/>
        <v>1.1599999999999999</v>
      </c>
      <c r="I66">
        <v>120</v>
      </c>
      <c r="J66" s="2" t="str">
        <f t="shared" si="4"/>
        <v>94-120</v>
      </c>
      <c r="K66" s="2">
        <f t="shared" si="5"/>
        <v>-0.32</v>
      </c>
      <c r="L66">
        <v>188</v>
      </c>
      <c r="M66" t="str">
        <f t="shared" si="6"/>
        <v>126-200</v>
      </c>
      <c r="N66">
        <f t="shared" si="7"/>
        <v>-0.16</v>
      </c>
      <c r="O66">
        <v>0</v>
      </c>
      <c r="P66">
        <f t="shared" si="8"/>
        <v>-0.02</v>
      </c>
      <c r="Q66">
        <v>0</v>
      </c>
      <c r="R66">
        <f t="shared" si="9"/>
        <v>-0.36</v>
      </c>
      <c r="S66">
        <v>113</v>
      </c>
      <c r="T66" t="str">
        <f t="shared" si="10"/>
        <v>101-130</v>
      </c>
      <c r="U66">
        <f t="shared" si="11"/>
        <v>1.1499999999999999</v>
      </c>
      <c r="V66">
        <v>0</v>
      </c>
      <c r="W66">
        <f t="shared" si="12"/>
        <v>-0.64</v>
      </c>
      <c r="X66">
        <v>1.4</v>
      </c>
      <c r="Y66" t="str">
        <f t="shared" si="13"/>
        <v>0.1-1.5</v>
      </c>
      <c r="Z66">
        <f t="shared" si="14"/>
        <v>-0.48</v>
      </c>
      <c r="AA66">
        <v>1</v>
      </c>
      <c r="AB66">
        <f t="shared" si="15"/>
        <v>0.78</v>
      </c>
      <c r="AC66">
        <v>1</v>
      </c>
      <c r="AD66">
        <f t="shared" si="16"/>
        <v>0.91</v>
      </c>
      <c r="AE66">
        <v>3</v>
      </c>
      <c r="AF66">
        <f t="shared" si="17"/>
        <v>1.32</v>
      </c>
      <c r="AG66">
        <v>1</v>
      </c>
      <c r="AH66" t="str">
        <f t="shared" si="18"/>
        <v>Yes</v>
      </c>
    </row>
    <row r="67" spans="1:34">
      <c r="A67">
        <v>66</v>
      </c>
      <c r="B67">
        <v>60</v>
      </c>
      <c r="C67" t="str">
        <f t="shared" ref="C67:C130" si="19">IF(B67&lt;37,"27-36",IF(B67&lt;47,"37-46",IF(B67&lt;57,"47-56",IF(B67&lt;67,"57-66","66+"))))</f>
        <v>57-66</v>
      </c>
      <c r="D67">
        <f t="shared" ref="D67:D130" si="20">IF(C67="27-36",-0.75,IF(C67="37-46",-0.83,IF(C67="47-56",-0.28,IF(C67="57-66",0.64,0.17))))</f>
        <v>0.64</v>
      </c>
      <c r="E67">
        <v>1</v>
      </c>
      <c r="F67">
        <f t="shared" ref="F67:F130" si="21">IF(E67=1,0.38,-0.89)</f>
        <v>0.38</v>
      </c>
      <c r="G67">
        <v>3</v>
      </c>
      <c r="H67">
        <f t="shared" ref="H67:H130" si="22">IF(G67=0,-0.66,IF(G67=1,-1.35,IF(G67=2,-1.16,1.16)))</f>
        <v>1.1599999999999999</v>
      </c>
      <c r="I67">
        <v>145</v>
      </c>
      <c r="J67" s="2" t="str">
        <f t="shared" ref="J67:J130" si="23">IF(I67&lt;=120,"94-120",IF(I67&lt;=150,"121-150",IF(I67&lt;180,"151-180","180+")))</f>
        <v>121-150</v>
      </c>
      <c r="K67" s="2">
        <f t="shared" ref="K67:K130" si="24">IF(J67="121-150",0.04,IF(J67="151-180",0.57,IF(J67="94-120",-0.32,1.55)))</f>
        <v>0.04</v>
      </c>
      <c r="L67">
        <v>282</v>
      </c>
      <c r="M67" t="str">
        <f t="shared" ref="M67:M130" si="25">IF(L67&lt;=200,"126-200",IF(L67&lt;=250,"201-250",IF(L67&lt;=300,"251-300",IF(L67&lt;=350,"351-400","400+"))))</f>
        <v>251-300</v>
      </c>
      <c r="N67">
        <f t="shared" ref="N67:N130" si="26">IF(M67="126-200",-0.16,IF(M67="201,250",-0.29,IF(M67="251-300",0.48,IF(M67="400+",-0.35,0.17))))</f>
        <v>0.48</v>
      </c>
      <c r="O67">
        <v>0</v>
      </c>
      <c r="P67">
        <f t="shared" ref="P67:P130" si="27">IF(O67=1,0.12,-0.02)</f>
        <v>-0.02</v>
      </c>
      <c r="Q67">
        <v>2</v>
      </c>
      <c r="R67">
        <f t="shared" ref="R67:R130" si="28">IF(Q67=0,-0.36,IF(Q67=1,1.26,0.33))</f>
        <v>0.33</v>
      </c>
      <c r="S67">
        <v>142</v>
      </c>
      <c r="T67" t="str">
        <f t="shared" ref="T67:T130" si="29">IF(S67&lt;=100,"71-100",IF(S67&lt;=130,"101-130",IF(S67&lt;=160,"131-160",IF(S67&lt;=190,"161-190","190+"))))</f>
        <v>131-160</v>
      </c>
      <c r="U67">
        <f t="shared" ref="U67:U130" si="30">IF(T67="101-130",1.15,IF(T67="131-160",0.2,IF(T67="161-190",-1.01,IF(T67="190",-0.93,2.11))))</f>
        <v>0.2</v>
      </c>
      <c r="V67">
        <v>1</v>
      </c>
      <c r="W67">
        <f t="shared" ref="W67:W130" si="31">IF(V67=0,-0.64,1.36)</f>
        <v>1.36</v>
      </c>
      <c r="X67">
        <v>2.8</v>
      </c>
      <c r="Y67" t="str">
        <f t="shared" ref="Y67:Y130" si="32">IF(X67&lt;=1.5,"0.1-1.5",IF(X67&lt;=2.8,"1.6-2.8",IF(X67&lt;=4,"2.9-4","4+")))</f>
        <v>1.6-2.8</v>
      </c>
      <c r="Z67">
        <f t="shared" ref="Z67:Z130" si="33">IF(Y67="1.6-2.8",0.99,IF(Y67="0.1-1.5",-0.48,IF(Y67="2.9-4",2.42,1.55)))</f>
        <v>0.99</v>
      </c>
      <c r="AA67">
        <v>1</v>
      </c>
      <c r="AB67">
        <f t="shared" ref="AB67:AB130" si="34">IF(AA67=1,0.78,IF(AA67=0,-0.91,0.45))</f>
        <v>0.78</v>
      </c>
      <c r="AC67">
        <v>2</v>
      </c>
      <c r="AD67">
        <f t="shared" ref="AD67:AD130" si="35">IF(AC67=0,-0.87,IF(AC67=1,0.91,IF(AC67=2,1.65,1.9)))</f>
        <v>1.65</v>
      </c>
      <c r="AE67">
        <v>3</v>
      </c>
      <c r="AF67">
        <f t="shared" ref="AF67:AF130" si="36">IF(AE67=2,0.86,IF(AE67=1,-1.06,1.32))</f>
        <v>1.32</v>
      </c>
      <c r="AG67">
        <v>1</v>
      </c>
      <c r="AH67" t="str">
        <f t="shared" ref="AH67:AH130" si="37">IF(AG67=1,"Yes","No")</f>
        <v>Yes</v>
      </c>
    </row>
    <row r="68" spans="1:34">
      <c r="A68">
        <v>67</v>
      </c>
      <c r="B68">
        <v>60</v>
      </c>
      <c r="C68" t="str">
        <f t="shared" si="19"/>
        <v>57-66</v>
      </c>
      <c r="D68">
        <f t="shared" si="20"/>
        <v>0.64</v>
      </c>
      <c r="E68">
        <v>1</v>
      </c>
      <c r="F68">
        <f t="shared" si="21"/>
        <v>0.38</v>
      </c>
      <c r="G68">
        <v>2</v>
      </c>
      <c r="H68">
        <f t="shared" si="22"/>
        <v>-1.1599999999999999</v>
      </c>
      <c r="I68">
        <v>140</v>
      </c>
      <c r="J68" s="2" t="str">
        <f t="shared" si="23"/>
        <v>121-150</v>
      </c>
      <c r="K68" s="2">
        <f t="shared" si="24"/>
        <v>0.04</v>
      </c>
      <c r="L68">
        <v>185</v>
      </c>
      <c r="M68" t="str">
        <f t="shared" si="25"/>
        <v>126-200</v>
      </c>
      <c r="N68">
        <f t="shared" si="26"/>
        <v>-0.16</v>
      </c>
      <c r="O68">
        <v>0</v>
      </c>
      <c r="P68">
        <f t="shared" si="27"/>
        <v>-0.02</v>
      </c>
      <c r="Q68">
        <v>2</v>
      </c>
      <c r="R68">
        <f t="shared" si="28"/>
        <v>0.33</v>
      </c>
      <c r="S68">
        <v>155</v>
      </c>
      <c r="T68" t="str">
        <f t="shared" si="29"/>
        <v>131-160</v>
      </c>
      <c r="U68">
        <f t="shared" si="30"/>
        <v>0.2</v>
      </c>
      <c r="V68">
        <v>0</v>
      </c>
      <c r="W68">
        <f t="shared" si="31"/>
        <v>-0.64</v>
      </c>
      <c r="X68">
        <v>3</v>
      </c>
      <c r="Y68" t="str">
        <f t="shared" si="32"/>
        <v>2.9-4</v>
      </c>
      <c r="Z68">
        <f t="shared" si="33"/>
        <v>2.42</v>
      </c>
      <c r="AA68">
        <v>1</v>
      </c>
      <c r="AB68">
        <f t="shared" si="34"/>
        <v>0.78</v>
      </c>
      <c r="AC68">
        <v>0</v>
      </c>
      <c r="AD68">
        <f t="shared" si="35"/>
        <v>-0.87</v>
      </c>
      <c r="AE68">
        <v>1</v>
      </c>
      <c r="AF68">
        <f t="shared" si="36"/>
        <v>-1.06</v>
      </c>
      <c r="AG68">
        <v>1</v>
      </c>
      <c r="AH68" t="str">
        <f t="shared" si="37"/>
        <v>Yes</v>
      </c>
    </row>
    <row r="69" spans="1:34">
      <c r="A69">
        <v>68</v>
      </c>
      <c r="B69">
        <v>54</v>
      </c>
      <c r="C69" t="str">
        <f t="shared" si="19"/>
        <v>47-56</v>
      </c>
      <c r="D69">
        <f t="shared" si="20"/>
        <v>-0.28000000000000003</v>
      </c>
      <c r="E69">
        <v>1</v>
      </c>
      <c r="F69">
        <f t="shared" si="21"/>
        <v>0.38</v>
      </c>
      <c r="G69">
        <v>2</v>
      </c>
      <c r="H69">
        <f t="shared" si="22"/>
        <v>-1.1599999999999999</v>
      </c>
      <c r="I69">
        <v>150</v>
      </c>
      <c r="J69" s="2" t="str">
        <f t="shared" si="23"/>
        <v>121-150</v>
      </c>
      <c r="K69" s="2">
        <f t="shared" si="24"/>
        <v>0.04</v>
      </c>
      <c r="L69">
        <v>232</v>
      </c>
      <c r="M69" t="str">
        <f t="shared" si="25"/>
        <v>201-250</v>
      </c>
      <c r="N69">
        <f t="shared" si="26"/>
        <v>0.17</v>
      </c>
      <c r="O69">
        <v>0</v>
      </c>
      <c r="P69">
        <f t="shared" si="27"/>
        <v>-0.02</v>
      </c>
      <c r="Q69">
        <v>2</v>
      </c>
      <c r="R69">
        <f t="shared" si="28"/>
        <v>0.33</v>
      </c>
      <c r="S69">
        <v>165</v>
      </c>
      <c r="T69" t="str">
        <f t="shared" si="29"/>
        <v>161-190</v>
      </c>
      <c r="U69">
        <f t="shared" si="30"/>
        <v>-1.01</v>
      </c>
      <c r="V69">
        <v>0</v>
      </c>
      <c r="W69">
        <f t="shared" si="31"/>
        <v>-0.64</v>
      </c>
      <c r="X69">
        <v>1.6</v>
      </c>
      <c r="Y69" t="str">
        <f t="shared" si="32"/>
        <v>1.6-2.8</v>
      </c>
      <c r="Z69">
        <f t="shared" si="33"/>
        <v>0.99</v>
      </c>
      <c r="AA69">
        <v>0</v>
      </c>
      <c r="AB69">
        <f t="shared" si="34"/>
        <v>-0.91</v>
      </c>
      <c r="AC69">
        <v>0</v>
      </c>
      <c r="AD69">
        <f t="shared" si="35"/>
        <v>-0.87</v>
      </c>
      <c r="AE69">
        <v>3</v>
      </c>
      <c r="AF69">
        <f t="shared" si="36"/>
        <v>1.32</v>
      </c>
      <c r="AG69">
        <v>0</v>
      </c>
      <c r="AH69" t="str">
        <f t="shared" si="37"/>
        <v>No</v>
      </c>
    </row>
    <row r="70" spans="1:34">
      <c r="A70">
        <v>69</v>
      </c>
      <c r="B70">
        <v>59</v>
      </c>
      <c r="C70" t="str">
        <f t="shared" si="19"/>
        <v>57-66</v>
      </c>
      <c r="D70">
        <f t="shared" si="20"/>
        <v>0.64</v>
      </c>
      <c r="E70">
        <v>1</v>
      </c>
      <c r="F70">
        <f t="shared" si="21"/>
        <v>0.38</v>
      </c>
      <c r="G70">
        <v>3</v>
      </c>
      <c r="H70">
        <f t="shared" si="22"/>
        <v>1.1599999999999999</v>
      </c>
      <c r="I70">
        <v>170</v>
      </c>
      <c r="J70" s="2" t="str">
        <f t="shared" si="23"/>
        <v>151-180</v>
      </c>
      <c r="K70" s="2">
        <f t="shared" si="24"/>
        <v>0.56999999999999995</v>
      </c>
      <c r="L70">
        <v>326</v>
      </c>
      <c r="M70" t="str">
        <f t="shared" si="25"/>
        <v>351-400</v>
      </c>
      <c r="N70">
        <f t="shared" si="26"/>
        <v>0.17</v>
      </c>
      <c r="O70">
        <v>0</v>
      </c>
      <c r="P70">
        <f t="shared" si="27"/>
        <v>-0.02</v>
      </c>
      <c r="Q70">
        <v>2</v>
      </c>
      <c r="R70">
        <f t="shared" si="28"/>
        <v>0.33</v>
      </c>
      <c r="S70">
        <v>140</v>
      </c>
      <c r="T70" t="str">
        <f t="shared" si="29"/>
        <v>131-160</v>
      </c>
      <c r="U70">
        <f t="shared" si="30"/>
        <v>0.2</v>
      </c>
      <c r="V70">
        <v>1</v>
      </c>
      <c r="W70">
        <f t="shared" si="31"/>
        <v>1.36</v>
      </c>
      <c r="X70">
        <v>3.4</v>
      </c>
      <c r="Y70" t="str">
        <f t="shared" si="32"/>
        <v>2.9-4</v>
      </c>
      <c r="Z70">
        <f t="shared" si="33"/>
        <v>2.42</v>
      </c>
      <c r="AA70">
        <v>2</v>
      </c>
      <c r="AB70">
        <f t="shared" si="34"/>
        <v>0.45</v>
      </c>
      <c r="AC70">
        <v>0</v>
      </c>
      <c r="AD70">
        <f t="shared" si="35"/>
        <v>-0.87</v>
      </c>
      <c r="AE70">
        <v>3</v>
      </c>
      <c r="AF70">
        <f t="shared" si="36"/>
        <v>1.32</v>
      </c>
      <c r="AG70">
        <v>1</v>
      </c>
      <c r="AH70" t="str">
        <f t="shared" si="37"/>
        <v>Yes</v>
      </c>
    </row>
    <row r="71" spans="1:34">
      <c r="A71">
        <v>70</v>
      </c>
      <c r="B71">
        <v>46</v>
      </c>
      <c r="C71" t="str">
        <f t="shared" si="19"/>
        <v>37-46</v>
      </c>
      <c r="D71">
        <f t="shared" si="20"/>
        <v>-0.83</v>
      </c>
      <c r="E71">
        <v>1</v>
      </c>
      <c r="F71">
        <f t="shared" si="21"/>
        <v>0.38</v>
      </c>
      <c r="G71">
        <v>2</v>
      </c>
      <c r="H71">
        <f t="shared" si="22"/>
        <v>-1.1599999999999999</v>
      </c>
      <c r="I71">
        <v>150</v>
      </c>
      <c r="J71" s="2" t="str">
        <f t="shared" si="23"/>
        <v>121-150</v>
      </c>
      <c r="K71" s="2">
        <f t="shared" si="24"/>
        <v>0.04</v>
      </c>
      <c r="L71">
        <v>231</v>
      </c>
      <c r="M71" t="str">
        <f t="shared" si="25"/>
        <v>201-250</v>
      </c>
      <c r="N71">
        <f t="shared" si="26"/>
        <v>0.17</v>
      </c>
      <c r="O71">
        <v>0</v>
      </c>
      <c r="P71">
        <f t="shared" si="27"/>
        <v>-0.02</v>
      </c>
      <c r="Q71">
        <v>0</v>
      </c>
      <c r="R71">
        <f t="shared" si="28"/>
        <v>-0.36</v>
      </c>
      <c r="S71">
        <v>147</v>
      </c>
      <c r="T71" t="str">
        <f t="shared" si="29"/>
        <v>131-160</v>
      </c>
      <c r="U71">
        <f t="shared" si="30"/>
        <v>0.2</v>
      </c>
      <c r="V71">
        <v>0</v>
      </c>
      <c r="W71">
        <f t="shared" si="31"/>
        <v>-0.64</v>
      </c>
      <c r="X71">
        <v>3.6</v>
      </c>
      <c r="Y71" t="str">
        <f t="shared" si="32"/>
        <v>2.9-4</v>
      </c>
      <c r="Z71">
        <f t="shared" si="33"/>
        <v>2.42</v>
      </c>
      <c r="AA71">
        <v>1</v>
      </c>
      <c r="AB71">
        <f t="shared" si="34"/>
        <v>0.78</v>
      </c>
      <c r="AC71">
        <v>0</v>
      </c>
      <c r="AD71">
        <f t="shared" si="35"/>
        <v>-0.87</v>
      </c>
      <c r="AE71">
        <v>1</v>
      </c>
      <c r="AF71">
        <f t="shared" si="36"/>
        <v>-1.06</v>
      </c>
      <c r="AG71">
        <v>1</v>
      </c>
      <c r="AH71" t="str">
        <f t="shared" si="37"/>
        <v>Yes</v>
      </c>
    </row>
    <row r="72" spans="1:34">
      <c r="A72">
        <v>71</v>
      </c>
      <c r="B72">
        <v>65</v>
      </c>
      <c r="C72" t="str">
        <f t="shared" si="19"/>
        <v>57-66</v>
      </c>
      <c r="D72">
        <f t="shared" si="20"/>
        <v>0.64</v>
      </c>
      <c r="E72">
        <v>0</v>
      </c>
      <c r="F72">
        <f t="shared" si="21"/>
        <v>-0.89</v>
      </c>
      <c r="G72">
        <v>2</v>
      </c>
      <c r="H72">
        <f t="shared" si="22"/>
        <v>-1.1599999999999999</v>
      </c>
      <c r="I72">
        <v>155</v>
      </c>
      <c r="J72" s="2" t="str">
        <f t="shared" si="23"/>
        <v>151-180</v>
      </c>
      <c r="K72" s="2">
        <f t="shared" si="24"/>
        <v>0.56999999999999995</v>
      </c>
      <c r="L72">
        <v>269</v>
      </c>
      <c r="M72" t="str">
        <f t="shared" si="25"/>
        <v>251-300</v>
      </c>
      <c r="N72">
        <f t="shared" si="26"/>
        <v>0.48</v>
      </c>
      <c r="O72">
        <v>0</v>
      </c>
      <c r="P72">
        <f t="shared" si="27"/>
        <v>-0.02</v>
      </c>
      <c r="Q72">
        <v>0</v>
      </c>
      <c r="R72">
        <f t="shared" si="28"/>
        <v>-0.36</v>
      </c>
      <c r="S72">
        <v>148</v>
      </c>
      <c r="T72" t="str">
        <f t="shared" si="29"/>
        <v>131-160</v>
      </c>
      <c r="U72">
        <f t="shared" si="30"/>
        <v>0.2</v>
      </c>
      <c r="V72">
        <v>0</v>
      </c>
      <c r="W72">
        <f t="shared" si="31"/>
        <v>-0.64</v>
      </c>
      <c r="X72">
        <v>0.8</v>
      </c>
      <c r="Y72" t="str">
        <f t="shared" si="32"/>
        <v>0.1-1.5</v>
      </c>
      <c r="Z72">
        <f t="shared" si="33"/>
        <v>-0.48</v>
      </c>
      <c r="AA72">
        <v>0</v>
      </c>
      <c r="AB72">
        <f t="shared" si="34"/>
        <v>-0.91</v>
      </c>
      <c r="AC72">
        <v>0</v>
      </c>
      <c r="AD72">
        <f t="shared" si="35"/>
        <v>-0.87</v>
      </c>
      <c r="AE72">
        <v>1</v>
      </c>
      <c r="AF72">
        <f t="shared" si="36"/>
        <v>-1.06</v>
      </c>
      <c r="AG72">
        <v>0</v>
      </c>
      <c r="AH72" t="str">
        <f t="shared" si="37"/>
        <v>No</v>
      </c>
    </row>
    <row r="73" spans="1:34">
      <c r="A73">
        <v>72</v>
      </c>
      <c r="B73">
        <v>67</v>
      </c>
      <c r="C73" t="str">
        <f t="shared" si="19"/>
        <v>66+</v>
      </c>
      <c r="D73">
        <f t="shared" si="20"/>
        <v>0.17</v>
      </c>
      <c r="E73">
        <v>1</v>
      </c>
      <c r="F73">
        <f t="shared" si="21"/>
        <v>0.38</v>
      </c>
      <c r="G73">
        <v>3</v>
      </c>
      <c r="H73">
        <f t="shared" si="22"/>
        <v>1.1599999999999999</v>
      </c>
      <c r="I73">
        <v>125</v>
      </c>
      <c r="J73" s="2" t="str">
        <f t="shared" si="23"/>
        <v>121-150</v>
      </c>
      <c r="K73" s="2">
        <f t="shared" si="24"/>
        <v>0.04</v>
      </c>
      <c r="L73">
        <v>254</v>
      </c>
      <c r="M73" t="str">
        <f t="shared" si="25"/>
        <v>251-300</v>
      </c>
      <c r="N73">
        <f t="shared" si="26"/>
        <v>0.48</v>
      </c>
      <c r="O73">
        <v>1</v>
      </c>
      <c r="P73">
        <f t="shared" si="27"/>
        <v>0.12</v>
      </c>
      <c r="Q73">
        <v>0</v>
      </c>
      <c r="R73">
        <f t="shared" si="28"/>
        <v>-0.36</v>
      </c>
      <c r="S73">
        <v>163</v>
      </c>
      <c r="T73" t="str">
        <f t="shared" si="29"/>
        <v>161-190</v>
      </c>
      <c r="U73">
        <f t="shared" si="30"/>
        <v>-1.01</v>
      </c>
      <c r="V73">
        <v>0</v>
      </c>
      <c r="W73">
        <f t="shared" si="31"/>
        <v>-0.64</v>
      </c>
      <c r="X73">
        <v>0.2</v>
      </c>
      <c r="Y73" t="str">
        <f t="shared" si="32"/>
        <v>0.1-1.5</v>
      </c>
      <c r="Z73">
        <f t="shared" si="33"/>
        <v>-0.48</v>
      </c>
      <c r="AA73">
        <v>1</v>
      </c>
      <c r="AB73">
        <f t="shared" si="34"/>
        <v>0.78</v>
      </c>
      <c r="AC73">
        <v>2</v>
      </c>
      <c r="AD73">
        <f t="shared" si="35"/>
        <v>1.65</v>
      </c>
      <c r="AE73">
        <v>3</v>
      </c>
      <c r="AF73">
        <f t="shared" si="36"/>
        <v>1.32</v>
      </c>
      <c r="AG73">
        <v>1</v>
      </c>
      <c r="AH73" t="str">
        <f t="shared" si="37"/>
        <v>Yes</v>
      </c>
    </row>
    <row r="74" spans="1:34">
      <c r="A74">
        <v>73</v>
      </c>
      <c r="B74">
        <v>62</v>
      </c>
      <c r="C74" t="str">
        <f t="shared" si="19"/>
        <v>57-66</v>
      </c>
      <c r="D74">
        <f t="shared" si="20"/>
        <v>0.64</v>
      </c>
      <c r="E74">
        <v>1</v>
      </c>
      <c r="F74">
        <f t="shared" si="21"/>
        <v>0.38</v>
      </c>
      <c r="G74">
        <v>3</v>
      </c>
      <c r="H74">
        <f t="shared" si="22"/>
        <v>1.1599999999999999</v>
      </c>
      <c r="I74">
        <v>120</v>
      </c>
      <c r="J74" s="2" t="str">
        <f t="shared" si="23"/>
        <v>94-120</v>
      </c>
      <c r="K74" s="2">
        <f t="shared" si="24"/>
        <v>-0.32</v>
      </c>
      <c r="L74">
        <v>267</v>
      </c>
      <c r="M74" t="str">
        <f t="shared" si="25"/>
        <v>251-300</v>
      </c>
      <c r="N74">
        <f t="shared" si="26"/>
        <v>0.48</v>
      </c>
      <c r="O74">
        <v>0</v>
      </c>
      <c r="P74">
        <f t="shared" si="27"/>
        <v>-0.02</v>
      </c>
      <c r="Q74">
        <v>0</v>
      </c>
      <c r="R74">
        <f t="shared" si="28"/>
        <v>-0.36</v>
      </c>
      <c r="S74">
        <v>99</v>
      </c>
      <c r="T74" t="str">
        <f t="shared" si="29"/>
        <v>71-100</v>
      </c>
      <c r="U74">
        <f t="shared" si="30"/>
        <v>2.11</v>
      </c>
      <c r="V74">
        <v>1</v>
      </c>
      <c r="W74">
        <f t="shared" si="31"/>
        <v>1.36</v>
      </c>
      <c r="X74">
        <v>1.8</v>
      </c>
      <c r="Y74" t="str">
        <f t="shared" si="32"/>
        <v>1.6-2.8</v>
      </c>
      <c r="Z74">
        <f t="shared" si="33"/>
        <v>0.99</v>
      </c>
      <c r="AA74">
        <v>1</v>
      </c>
      <c r="AB74">
        <f t="shared" si="34"/>
        <v>0.78</v>
      </c>
      <c r="AC74">
        <v>2</v>
      </c>
      <c r="AD74">
        <f t="shared" si="35"/>
        <v>1.65</v>
      </c>
      <c r="AE74">
        <v>3</v>
      </c>
      <c r="AF74">
        <f t="shared" si="36"/>
        <v>1.32</v>
      </c>
      <c r="AG74">
        <v>1</v>
      </c>
      <c r="AH74" t="str">
        <f t="shared" si="37"/>
        <v>Yes</v>
      </c>
    </row>
    <row r="75" spans="1:34">
      <c r="A75">
        <v>74</v>
      </c>
      <c r="B75">
        <v>65</v>
      </c>
      <c r="C75" t="str">
        <f t="shared" si="19"/>
        <v>57-66</v>
      </c>
      <c r="D75">
        <f t="shared" si="20"/>
        <v>0.64</v>
      </c>
      <c r="E75">
        <v>1</v>
      </c>
      <c r="F75">
        <f t="shared" si="21"/>
        <v>0.38</v>
      </c>
      <c r="G75">
        <v>3</v>
      </c>
      <c r="H75">
        <f t="shared" si="22"/>
        <v>1.1599999999999999</v>
      </c>
      <c r="I75">
        <v>110</v>
      </c>
      <c r="J75" s="2" t="str">
        <f t="shared" si="23"/>
        <v>94-120</v>
      </c>
      <c r="K75" s="2">
        <f t="shared" si="24"/>
        <v>-0.32</v>
      </c>
      <c r="L75">
        <v>248</v>
      </c>
      <c r="M75" t="str">
        <f t="shared" si="25"/>
        <v>201-250</v>
      </c>
      <c r="N75">
        <f t="shared" si="26"/>
        <v>0.17</v>
      </c>
      <c r="O75">
        <v>0</v>
      </c>
      <c r="P75">
        <f t="shared" si="27"/>
        <v>-0.02</v>
      </c>
      <c r="Q75">
        <v>2</v>
      </c>
      <c r="R75">
        <f t="shared" si="28"/>
        <v>0.33</v>
      </c>
      <c r="S75">
        <v>158</v>
      </c>
      <c r="T75" t="str">
        <f t="shared" si="29"/>
        <v>131-160</v>
      </c>
      <c r="U75">
        <f t="shared" si="30"/>
        <v>0.2</v>
      </c>
      <c r="V75">
        <v>0</v>
      </c>
      <c r="W75">
        <f t="shared" si="31"/>
        <v>-0.64</v>
      </c>
      <c r="X75">
        <v>0.6</v>
      </c>
      <c r="Y75" t="str">
        <f t="shared" si="32"/>
        <v>0.1-1.5</v>
      </c>
      <c r="Z75">
        <f t="shared" si="33"/>
        <v>-0.48</v>
      </c>
      <c r="AA75">
        <v>0</v>
      </c>
      <c r="AB75">
        <f t="shared" si="34"/>
        <v>-0.91</v>
      </c>
      <c r="AC75">
        <v>2</v>
      </c>
      <c r="AD75">
        <f t="shared" si="35"/>
        <v>1.65</v>
      </c>
      <c r="AE75">
        <v>2</v>
      </c>
      <c r="AF75">
        <f t="shared" si="36"/>
        <v>0.86</v>
      </c>
      <c r="AG75">
        <v>1</v>
      </c>
      <c r="AH75" t="str">
        <f t="shared" si="37"/>
        <v>Yes</v>
      </c>
    </row>
    <row r="76" spans="1:34">
      <c r="A76">
        <v>75</v>
      </c>
      <c r="B76">
        <v>44</v>
      </c>
      <c r="C76" t="str">
        <f t="shared" si="19"/>
        <v>37-46</v>
      </c>
      <c r="D76">
        <f t="shared" si="20"/>
        <v>-0.83</v>
      </c>
      <c r="E76">
        <v>1</v>
      </c>
      <c r="F76">
        <f t="shared" si="21"/>
        <v>0.38</v>
      </c>
      <c r="G76">
        <v>3</v>
      </c>
      <c r="H76">
        <f t="shared" si="22"/>
        <v>1.1599999999999999</v>
      </c>
      <c r="I76">
        <v>110</v>
      </c>
      <c r="J76" s="2" t="str">
        <f t="shared" si="23"/>
        <v>94-120</v>
      </c>
      <c r="K76" s="2">
        <f t="shared" si="24"/>
        <v>-0.32</v>
      </c>
      <c r="L76">
        <v>197</v>
      </c>
      <c r="M76" t="str">
        <f t="shared" si="25"/>
        <v>126-200</v>
      </c>
      <c r="N76">
        <f t="shared" si="26"/>
        <v>-0.16</v>
      </c>
      <c r="O76">
        <v>0</v>
      </c>
      <c r="P76">
        <f t="shared" si="27"/>
        <v>-0.02</v>
      </c>
      <c r="Q76">
        <v>2</v>
      </c>
      <c r="R76">
        <f t="shared" si="28"/>
        <v>0.33</v>
      </c>
      <c r="S76">
        <v>177</v>
      </c>
      <c r="T76" t="str">
        <f t="shared" si="29"/>
        <v>161-190</v>
      </c>
      <c r="U76">
        <f t="shared" si="30"/>
        <v>-1.01</v>
      </c>
      <c r="V76">
        <v>0</v>
      </c>
      <c r="W76">
        <f t="shared" si="31"/>
        <v>-0.64</v>
      </c>
      <c r="X76">
        <v>0</v>
      </c>
      <c r="Y76" t="str">
        <f t="shared" si="32"/>
        <v>0.1-1.5</v>
      </c>
      <c r="Z76">
        <f t="shared" si="33"/>
        <v>-0.48</v>
      </c>
      <c r="AA76">
        <v>0</v>
      </c>
      <c r="AB76">
        <f t="shared" si="34"/>
        <v>-0.91</v>
      </c>
      <c r="AC76">
        <v>1</v>
      </c>
      <c r="AD76">
        <f t="shared" si="35"/>
        <v>0.91</v>
      </c>
      <c r="AE76">
        <v>1</v>
      </c>
      <c r="AF76">
        <f t="shared" si="36"/>
        <v>-1.06</v>
      </c>
      <c r="AG76">
        <v>1</v>
      </c>
      <c r="AH76" t="str">
        <f t="shared" si="37"/>
        <v>Yes</v>
      </c>
    </row>
    <row r="77" spans="1:34">
      <c r="A77">
        <v>76</v>
      </c>
      <c r="B77">
        <v>65</v>
      </c>
      <c r="C77" t="str">
        <f t="shared" si="19"/>
        <v>57-66</v>
      </c>
      <c r="D77">
        <f t="shared" si="20"/>
        <v>0.64</v>
      </c>
      <c r="E77">
        <v>0</v>
      </c>
      <c r="F77">
        <f t="shared" si="21"/>
        <v>-0.89</v>
      </c>
      <c r="G77">
        <v>2</v>
      </c>
      <c r="H77">
        <f t="shared" si="22"/>
        <v>-1.1599999999999999</v>
      </c>
      <c r="I77">
        <v>160</v>
      </c>
      <c r="J77" s="2" t="str">
        <f t="shared" si="23"/>
        <v>151-180</v>
      </c>
      <c r="K77" s="2">
        <f t="shared" si="24"/>
        <v>0.56999999999999995</v>
      </c>
      <c r="L77">
        <v>360</v>
      </c>
      <c r="M77" t="str">
        <f t="shared" si="25"/>
        <v>400+</v>
      </c>
      <c r="N77">
        <f t="shared" si="26"/>
        <v>-0.35</v>
      </c>
      <c r="O77">
        <v>0</v>
      </c>
      <c r="P77">
        <f t="shared" si="27"/>
        <v>-0.02</v>
      </c>
      <c r="Q77">
        <v>2</v>
      </c>
      <c r="R77">
        <f t="shared" si="28"/>
        <v>0.33</v>
      </c>
      <c r="S77">
        <v>151</v>
      </c>
      <c r="T77" t="str">
        <f t="shared" si="29"/>
        <v>131-160</v>
      </c>
      <c r="U77">
        <f t="shared" si="30"/>
        <v>0.2</v>
      </c>
      <c r="V77">
        <v>0</v>
      </c>
      <c r="W77">
        <f t="shared" si="31"/>
        <v>-0.64</v>
      </c>
      <c r="X77">
        <v>0.8</v>
      </c>
      <c r="Y77" t="str">
        <f t="shared" si="32"/>
        <v>0.1-1.5</v>
      </c>
      <c r="Z77">
        <f t="shared" si="33"/>
        <v>-0.48</v>
      </c>
      <c r="AA77">
        <v>0</v>
      </c>
      <c r="AB77">
        <f t="shared" si="34"/>
        <v>-0.91</v>
      </c>
      <c r="AC77">
        <v>0</v>
      </c>
      <c r="AD77">
        <f t="shared" si="35"/>
        <v>-0.87</v>
      </c>
      <c r="AE77">
        <v>1</v>
      </c>
      <c r="AF77">
        <f t="shared" si="36"/>
        <v>-1.06</v>
      </c>
      <c r="AG77">
        <v>0</v>
      </c>
      <c r="AH77" t="str">
        <f t="shared" si="37"/>
        <v>No</v>
      </c>
    </row>
    <row r="78" spans="1:34">
      <c r="A78">
        <v>77</v>
      </c>
      <c r="B78">
        <v>60</v>
      </c>
      <c r="C78" t="str">
        <f t="shared" si="19"/>
        <v>57-66</v>
      </c>
      <c r="D78">
        <f t="shared" si="20"/>
        <v>0.64</v>
      </c>
      <c r="E78">
        <v>1</v>
      </c>
      <c r="F78">
        <f t="shared" si="21"/>
        <v>0.38</v>
      </c>
      <c r="G78">
        <v>3</v>
      </c>
      <c r="H78">
        <f t="shared" si="22"/>
        <v>1.1599999999999999</v>
      </c>
      <c r="I78">
        <v>125</v>
      </c>
      <c r="J78" s="2" t="str">
        <f t="shared" si="23"/>
        <v>121-150</v>
      </c>
      <c r="K78" s="2">
        <f t="shared" si="24"/>
        <v>0.04</v>
      </c>
      <c r="L78">
        <v>258</v>
      </c>
      <c r="M78" t="str">
        <f t="shared" si="25"/>
        <v>251-300</v>
      </c>
      <c r="N78">
        <f t="shared" si="26"/>
        <v>0.48</v>
      </c>
      <c r="O78">
        <v>0</v>
      </c>
      <c r="P78">
        <f t="shared" si="27"/>
        <v>-0.02</v>
      </c>
      <c r="Q78">
        <v>2</v>
      </c>
      <c r="R78">
        <f t="shared" si="28"/>
        <v>0.33</v>
      </c>
      <c r="S78">
        <v>141</v>
      </c>
      <c r="T78" t="str">
        <f t="shared" si="29"/>
        <v>131-160</v>
      </c>
      <c r="U78">
        <f t="shared" si="30"/>
        <v>0.2</v>
      </c>
      <c r="V78">
        <v>1</v>
      </c>
      <c r="W78">
        <f t="shared" si="31"/>
        <v>1.36</v>
      </c>
      <c r="X78">
        <v>2.8</v>
      </c>
      <c r="Y78" t="str">
        <f t="shared" si="32"/>
        <v>1.6-2.8</v>
      </c>
      <c r="Z78">
        <f t="shared" si="33"/>
        <v>0.99</v>
      </c>
      <c r="AA78">
        <v>1</v>
      </c>
      <c r="AB78">
        <f t="shared" si="34"/>
        <v>0.78</v>
      </c>
      <c r="AC78">
        <v>1</v>
      </c>
      <c r="AD78">
        <f t="shared" si="35"/>
        <v>0.91</v>
      </c>
      <c r="AE78">
        <v>3</v>
      </c>
      <c r="AF78">
        <f t="shared" si="36"/>
        <v>1.32</v>
      </c>
      <c r="AG78">
        <v>1</v>
      </c>
      <c r="AH78" t="str">
        <f t="shared" si="37"/>
        <v>Yes</v>
      </c>
    </row>
    <row r="79" spans="1:34">
      <c r="A79">
        <v>78</v>
      </c>
      <c r="B79">
        <v>51</v>
      </c>
      <c r="C79" t="str">
        <f t="shared" si="19"/>
        <v>47-56</v>
      </c>
      <c r="D79">
        <f t="shared" si="20"/>
        <v>-0.28000000000000003</v>
      </c>
      <c r="E79">
        <v>0</v>
      </c>
      <c r="F79">
        <f t="shared" si="21"/>
        <v>-0.89</v>
      </c>
      <c r="G79">
        <v>2</v>
      </c>
      <c r="H79">
        <f t="shared" si="22"/>
        <v>-1.1599999999999999</v>
      </c>
      <c r="I79">
        <v>140</v>
      </c>
      <c r="J79" s="2" t="str">
        <f t="shared" si="23"/>
        <v>121-150</v>
      </c>
      <c r="K79" s="2">
        <f t="shared" si="24"/>
        <v>0.04</v>
      </c>
      <c r="L79">
        <v>308</v>
      </c>
      <c r="M79" t="str">
        <f t="shared" si="25"/>
        <v>351-400</v>
      </c>
      <c r="N79">
        <f t="shared" si="26"/>
        <v>0.17</v>
      </c>
      <c r="O79">
        <v>0</v>
      </c>
      <c r="P79">
        <f t="shared" si="27"/>
        <v>-0.02</v>
      </c>
      <c r="Q79">
        <v>2</v>
      </c>
      <c r="R79">
        <f t="shared" si="28"/>
        <v>0.33</v>
      </c>
      <c r="S79">
        <v>142</v>
      </c>
      <c r="T79" t="str">
        <f t="shared" si="29"/>
        <v>131-160</v>
      </c>
      <c r="U79">
        <f t="shared" si="30"/>
        <v>0.2</v>
      </c>
      <c r="V79">
        <v>0</v>
      </c>
      <c r="W79">
        <f t="shared" si="31"/>
        <v>-0.64</v>
      </c>
      <c r="X79">
        <v>1.5</v>
      </c>
      <c r="Y79" t="str">
        <f t="shared" si="32"/>
        <v>0.1-1.5</v>
      </c>
      <c r="Z79">
        <f t="shared" si="33"/>
        <v>-0.48</v>
      </c>
      <c r="AA79">
        <v>0</v>
      </c>
      <c r="AB79">
        <f t="shared" si="34"/>
        <v>-0.91</v>
      </c>
      <c r="AC79">
        <v>1</v>
      </c>
      <c r="AD79">
        <f t="shared" si="35"/>
        <v>0.91</v>
      </c>
      <c r="AE79">
        <v>1</v>
      </c>
      <c r="AF79">
        <f t="shared" si="36"/>
        <v>-1.06</v>
      </c>
      <c r="AG79">
        <v>0</v>
      </c>
      <c r="AH79" t="str">
        <f t="shared" si="37"/>
        <v>No</v>
      </c>
    </row>
    <row r="80" spans="1:34">
      <c r="A80">
        <v>79</v>
      </c>
      <c r="B80">
        <v>48</v>
      </c>
      <c r="C80" t="str">
        <f t="shared" si="19"/>
        <v>47-56</v>
      </c>
      <c r="D80">
        <f t="shared" si="20"/>
        <v>-0.28000000000000003</v>
      </c>
      <c r="E80">
        <v>1</v>
      </c>
      <c r="F80">
        <f t="shared" si="21"/>
        <v>0.38</v>
      </c>
      <c r="G80">
        <v>1</v>
      </c>
      <c r="H80">
        <f t="shared" si="22"/>
        <v>-1.35</v>
      </c>
      <c r="I80">
        <v>130</v>
      </c>
      <c r="J80" s="2" t="str">
        <f t="shared" si="23"/>
        <v>121-150</v>
      </c>
      <c r="K80" s="2">
        <f t="shared" si="24"/>
        <v>0.04</v>
      </c>
      <c r="L80">
        <v>245</v>
      </c>
      <c r="M80" t="str">
        <f t="shared" si="25"/>
        <v>201-250</v>
      </c>
      <c r="N80">
        <f t="shared" si="26"/>
        <v>0.17</v>
      </c>
      <c r="O80">
        <v>0</v>
      </c>
      <c r="P80">
        <f t="shared" si="27"/>
        <v>-0.02</v>
      </c>
      <c r="Q80">
        <v>2</v>
      </c>
      <c r="R80">
        <f t="shared" si="28"/>
        <v>0.33</v>
      </c>
      <c r="S80">
        <v>180</v>
      </c>
      <c r="T80" t="str">
        <f t="shared" si="29"/>
        <v>161-190</v>
      </c>
      <c r="U80">
        <f t="shared" si="30"/>
        <v>-1.01</v>
      </c>
      <c r="V80">
        <v>0</v>
      </c>
      <c r="W80">
        <f t="shared" si="31"/>
        <v>-0.64</v>
      </c>
      <c r="X80">
        <v>0.2</v>
      </c>
      <c r="Y80" t="str">
        <f t="shared" si="32"/>
        <v>0.1-1.5</v>
      </c>
      <c r="Z80">
        <f t="shared" si="33"/>
        <v>-0.48</v>
      </c>
      <c r="AA80">
        <v>1</v>
      </c>
      <c r="AB80">
        <f t="shared" si="34"/>
        <v>0.78</v>
      </c>
      <c r="AC80">
        <v>0</v>
      </c>
      <c r="AD80">
        <f t="shared" si="35"/>
        <v>-0.87</v>
      </c>
      <c r="AE80">
        <v>1</v>
      </c>
      <c r="AF80">
        <f t="shared" si="36"/>
        <v>-1.06</v>
      </c>
      <c r="AG80">
        <v>0</v>
      </c>
      <c r="AH80" t="str">
        <f t="shared" si="37"/>
        <v>No</v>
      </c>
    </row>
    <row r="81" spans="1:34">
      <c r="A81">
        <v>80</v>
      </c>
      <c r="B81">
        <v>58</v>
      </c>
      <c r="C81" t="str">
        <f t="shared" si="19"/>
        <v>57-66</v>
      </c>
      <c r="D81">
        <f t="shared" si="20"/>
        <v>0.64</v>
      </c>
      <c r="E81">
        <v>1</v>
      </c>
      <c r="F81">
        <f t="shared" si="21"/>
        <v>0.38</v>
      </c>
      <c r="G81">
        <v>3</v>
      </c>
      <c r="H81">
        <f t="shared" si="22"/>
        <v>1.1599999999999999</v>
      </c>
      <c r="I81">
        <v>150</v>
      </c>
      <c r="J81" s="2" t="str">
        <f t="shared" si="23"/>
        <v>121-150</v>
      </c>
      <c r="K81" s="2">
        <f t="shared" si="24"/>
        <v>0.04</v>
      </c>
      <c r="L81">
        <v>270</v>
      </c>
      <c r="M81" t="str">
        <f t="shared" si="25"/>
        <v>251-300</v>
      </c>
      <c r="N81">
        <f t="shared" si="26"/>
        <v>0.48</v>
      </c>
      <c r="O81">
        <v>0</v>
      </c>
      <c r="P81">
        <f t="shared" si="27"/>
        <v>-0.02</v>
      </c>
      <c r="Q81">
        <v>2</v>
      </c>
      <c r="R81">
        <f t="shared" si="28"/>
        <v>0.33</v>
      </c>
      <c r="S81">
        <v>111</v>
      </c>
      <c r="T81" t="str">
        <f t="shared" si="29"/>
        <v>101-130</v>
      </c>
      <c r="U81">
        <f t="shared" si="30"/>
        <v>1.1499999999999999</v>
      </c>
      <c r="V81">
        <v>1</v>
      </c>
      <c r="W81">
        <f t="shared" si="31"/>
        <v>1.36</v>
      </c>
      <c r="X81">
        <v>0.8</v>
      </c>
      <c r="Y81" t="str">
        <f t="shared" si="32"/>
        <v>0.1-1.5</v>
      </c>
      <c r="Z81">
        <f t="shared" si="33"/>
        <v>-0.48</v>
      </c>
      <c r="AA81">
        <v>0</v>
      </c>
      <c r="AB81">
        <f t="shared" si="34"/>
        <v>-0.91</v>
      </c>
      <c r="AC81">
        <v>0</v>
      </c>
      <c r="AD81">
        <f t="shared" si="35"/>
        <v>-0.87</v>
      </c>
      <c r="AE81">
        <v>3</v>
      </c>
      <c r="AF81">
        <f t="shared" si="36"/>
        <v>1.32</v>
      </c>
      <c r="AG81">
        <v>1</v>
      </c>
      <c r="AH81" t="str">
        <f t="shared" si="37"/>
        <v>Yes</v>
      </c>
    </row>
    <row r="82" spans="1:34">
      <c r="A82">
        <v>81</v>
      </c>
      <c r="B82">
        <v>45</v>
      </c>
      <c r="C82" t="str">
        <f t="shared" si="19"/>
        <v>37-46</v>
      </c>
      <c r="D82">
        <f t="shared" si="20"/>
        <v>-0.83</v>
      </c>
      <c r="E82">
        <v>1</v>
      </c>
      <c r="F82">
        <f t="shared" si="21"/>
        <v>0.38</v>
      </c>
      <c r="G82">
        <v>3</v>
      </c>
      <c r="H82">
        <f t="shared" si="22"/>
        <v>1.1599999999999999</v>
      </c>
      <c r="I82">
        <v>104</v>
      </c>
      <c r="J82" s="2" t="str">
        <f t="shared" si="23"/>
        <v>94-120</v>
      </c>
      <c r="K82" s="2">
        <f t="shared" si="24"/>
        <v>-0.32</v>
      </c>
      <c r="L82">
        <v>208</v>
      </c>
      <c r="M82" t="str">
        <f t="shared" si="25"/>
        <v>201-250</v>
      </c>
      <c r="N82">
        <f t="shared" si="26"/>
        <v>0.17</v>
      </c>
      <c r="O82">
        <v>0</v>
      </c>
      <c r="P82">
        <f t="shared" si="27"/>
        <v>-0.02</v>
      </c>
      <c r="Q82">
        <v>2</v>
      </c>
      <c r="R82">
        <f t="shared" si="28"/>
        <v>0.33</v>
      </c>
      <c r="S82">
        <v>148</v>
      </c>
      <c r="T82" t="str">
        <f t="shared" si="29"/>
        <v>131-160</v>
      </c>
      <c r="U82">
        <f t="shared" si="30"/>
        <v>0.2</v>
      </c>
      <c r="V82">
        <v>1</v>
      </c>
      <c r="W82">
        <f t="shared" si="31"/>
        <v>1.36</v>
      </c>
      <c r="X82">
        <v>3</v>
      </c>
      <c r="Y82" t="str">
        <f t="shared" si="32"/>
        <v>2.9-4</v>
      </c>
      <c r="Z82">
        <f t="shared" si="33"/>
        <v>2.42</v>
      </c>
      <c r="AA82">
        <v>1</v>
      </c>
      <c r="AB82">
        <f t="shared" si="34"/>
        <v>0.78</v>
      </c>
      <c r="AC82">
        <v>0</v>
      </c>
      <c r="AD82">
        <f t="shared" si="35"/>
        <v>-0.87</v>
      </c>
      <c r="AE82">
        <v>1</v>
      </c>
      <c r="AF82">
        <f t="shared" si="36"/>
        <v>-1.06</v>
      </c>
      <c r="AG82">
        <v>0</v>
      </c>
      <c r="AH82" t="str">
        <f t="shared" si="37"/>
        <v>No</v>
      </c>
    </row>
    <row r="83" spans="1:34">
      <c r="A83">
        <v>82</v>
      </c>
      <c r="B83">
        <v>53</v>
      </c>
      <c r="C83" t="str">
        <f t="shared" si="19"/>
        <v>47-56</v>
      </c>
      <c r="D83">
        <f t="shared" si="20"/>
        <v>-0.28000000000000003</v>
      </c>
      <c r="E83">
        <v>0</v>
      </c>
      <c r="F83">
        <f t="shared" si="21"/>
        <v>-0.89</v>
      </c>
      <c r="G83">
        <v>3</v>
      </c>
      <c r="H83">
        <f t="shared" si="22"/>
        <v>1.1599999999999999</v>
      </c>
      <c r="I83">
        <v>130</v>
      </c>
      <c r="J83" s="2" t="str">
        <f t="shared" si="23"/>
        <v>121-150</v>
      </c>
      <c r="K83" s="2">
        <f t="shared" si="24"/>
        <v>0.04</v>
      </c>
      <c r="L83">
        <v>264</v>
      </c>
      <c r="M83" t="str">
        <f t="shared" si="25"/>
        <v>251-300</v>
      </c>
      <c r="N83">
        <f t="shared" si="26"/>
        <v>0.48</v>
      </c>
      <c r="O83">
        <v>0</v>
      </c>
      <c r="P83">
        <f t="shared" si="27"/>
        <v>-0.02</v>
      </c>
      <c r="Q83">
        <v>2</v>
      </c>
      <c r="R83">
        <f t="shared" si="28"/>
        <v>0.33</v>
      </c>
      <c r="S83">
        <v>143</v>
      </c>
      <c r="T83" t="str">
        <f t="shared" si="29"/>
        <v>131-160</v>
      </c>
      <c r="U83">
        <f t="shared" si="30"/>
        <v>0.2</v>
      </c>
      <c r="V83">
        <v>0</v>
      </c>
      <c r="W83">
        <f t="shared" si="31"/>
        <v>-0.64</v>
      </c>
      <c r="X83">
        <v>0.4</v>
      </c>
      <c r="Y83" t="str">
        <f t="shared" si="32"/>
        <v>0.1-1.5</v>
      </c>
      <c r="Z83">
        <f t="shared" si="33"/>
        <v>-0.48</v>
      </c>
      <c r="AA83">
        <v>1</v>
      </c>
      <c r="AB83">
        <f t="shared" si="34"/>
        <v>0.78</v>
      </c>
      <c r="AC83">
        <v>0</v>
      </c>
      <c r="AD83">
        <f t="shared" si="35"/>
        <v>-0.87</v>
      </c>
      <c r="AE83">
        <v>1</v>
      </c>
      <c r="AF83">
        <f t="shared" si="36"/>
        <v>-1.06</v>
      </c>
      <c r="AG83">
        <v>0</v>
      </c>
      <c r="AH83" t="str">
        <f t="shared" si="37"/>
        <v>No</v>
      </c>
    </row>
    <row r="84" spans="1:34">
      <c r="A84">
        <v>83</v>
      </c>
      <c r="B84">
        <v>39</v>
      </c>
      <c r="C84" t="str">
        <f t="shared" si="19"/>
        <v>37-46</v>
      </c>
      <c r="D84">
        <f t="shared" si="20"/>
        <v>-0.83</v>
      </c>
      <c r="E84">
        <v>1</v>
      </c>
      <c r="F84">
        <f t="shared" si="21"/>
        <v>0.38</v>
      </c>
      <c r="G84">
        <v>2</v>
      </c>
      <c r="H84">
        <f t="shared" si="22"/>
        <v>-1.1599999999999999</v>
      </c>
      <c r="I84">
        <v>140</v>
      </c>
      <c r="J84" s="2" t="str">
        <f t="shared" si="23"/>
        <v>121-150</v>
      </c>
      <c r="K84" s="2">
        <f t="shared" si="24"/>
        <v>0.04</v>
      </c>
      <c r="L84">
        <v>321</v>
      </c>
      <c r="M84" t="str">
        <f t="shared" si="25"/>
        <v>351-400</v>
      </c>
      <c r="N84">
        <f t="shared" si="26"/>
        <v>0.17</v>
      </c>
      <c r="O84">
        <v>0</v>
      </c>
      <c r="P84">
        <f t="shared" si="27"/>
        <v>-0.02</v>
      </c>
      <c r="Q84">
        <v>2</v>
      </c>
      <c r="R84">
        <f t="shared" si="28"/>
        <v>0.33</v>
      </c>
      <c r="S84">
        <v>182</v>
      </c>
      <c r="T84" t="str">
        <f t="shared" si="29"/>
        <v>161-190</v>
      </c>
      <c r="U84">
        <f t="shared" si="30"/>
        <v>-1.01</v>
      </c>
      <c r="V84">
        <v>0</v>
      </c>
      <c r="W84">
        <f t="shared" si="31"/>
        <v>-0.64</v>
      </c>
      <c r="X84">
        <v>0</v>
      </c>
      <c r="Y84" t="str">
        <f t="shared" si="32"/>
        <v>0.1-1.5</v>
      </c>
      <c r="Z84">
        <f t="shared" si="33"/>
        <v>-0.48</v>
      </c>
      <c r="AA84">
        <v>0</v>
      </c>
      <c r="AB84">
        <f t="shared" si="34"/>
        <v>-0.91</v>
      </c>
      <c r="AC84">
        <v>0</v>
      </c>
      <c r="AD84">
        <f t="shared" si="35"/>
        <v>-0.87</v>
      </c>
      <c r="AE84">
        <v>1</v>
      </c>
      <c r="AF84">
        <f t="shared" si="36"/>
        <v>-1.06</v>
      </c>
      <c r="AG84">
        <v>0</v>
      </c>
      <c r="AH84" t="str">
        <f t="shared" si="37"/>
        <v>No</v>
      </c>
    </row>
    <row r="85" spans="1:34">
      <c r="A85">
        <v>84</v>
      </c>
      <c r="B85">
        <v>68</v>
      </c>
      <c r="C85" t="str">
        <f t="shared" si="19"/>
        <v>66+</v>
      </c>
      <c r="D85">
        <f t="shared" si="20"/>
        <v>0.17</v>
      </c>
      <c r="E85">
        <v>1</v>
      </c>
      <c r="F85">
        <f t="shared" si="21"/>
        <v>0.38</v>
      </c>
      <c r="G85">
        <v>2</v>
      </c>
      <c r="H85">
        <f t="shared" si="22"/>
        <v>-1.1599999999999999</v>
      </c>
      <c r="I85">
        <v>180</v>
      </c>
      <c r="J85" s="2" t="str">
        <f t="shared" si="23"/>
        <v>180+</v>
      </c>
      <c r="K85" s="2">
        <f t="shared" si="24"/>
        <v>1.55</v>
      </c>
      <c r="L85">
        <v>274</v>
      </c>
      <c r="M85" t="str">
        <f t="shared" si="25"/>
        <v>251-300</v>
      </c>
      <c r="N85">
        <f t="shared" si="26"/>
        <v>0.48</v>
      </c>
      <c r="O85">
        <v>1</v>
      </c>
      <c r="P85">
        <f t="shared" si="27"/>
        <v>0.12</v>
      </c>
      <c r="Q85">
        <v>2</v>
      </c>
      <c r="R85">
        <f t="shared" si="28"/>
        <v>0.33</v>
      </c>
      <c r="S85">
        <v>150</v>
      </c>
      <c r="T85" t="str">
        <f t="shared" si="29"/>
        <v>131-160</v>
      </c>
      <c r="U85">
        <f t="shared" si="30"/>
        <v>0.2</v>
      </c>
      <c r="V85">
        <v>1</v>
      </c>
      <c r="W85">
        <f t="shared" si="31"/>
        <v>1.36</v>
      </c>
      <c r="X85">
        <v>1.6</v>
      </c>
      <c r="Y85" t="str">
        <f t="shared" si="32"/>
        <v>1.6-2.8</v>
      </c>
      <c r="Z85">
        <f t="shared" si="33"/>
        <v>0.99</v>
      </c>
      <c r="AA85">
        <v>1</v>
      </c>
      <c r="AB85">
        <f t="shared" si="34"/>
        <v>0.78</v>
      </c>
      <c r="AC85">
        <v>0</v>
      </c>
      <c r="AD85">
        <f t="shared" si="35"/>
        <v>-0.87</v>
      </c>
      <c r="AE85">
        <v>3</v>
      </c>
      <c r="AF85">
        <f t="shared" si="36"/>
        <v>1.32</v>
      </c>
      <c r="AG85">
        <v>1</v>
      </c>
      <c r="AH85" t="str">
        <f t="shared" si="37"/>
        <v>Yes</v>
      </c>
    </row>
    <row r="86" spans="1:34">
      <c r="A86">
        <v>85</v>
      </c>
      <c r="B86">
        <v>52</v>
      </c>
      <c r="C86" t="str">
        <f t="shared" si="19"/>
        <v>47-56</v>
      </c>
      <c r="D86">
        <f t="shared" si="20"/>
        <v>-0.28000000000000003</v>
      </c>
      <c r="E86">
        <v>1</v>
      </c>
      <c r="F86">
        <f t="shared" si="21"/>
        <v>0.38</v>
      </c>
      <c r="G86">
        <v>1</v>
      </c>
      <c r="H86">
        <f t="shared" si="22"/>
        <v>-1.35</v>
      </c>
      <c r="I86">
        <v>120</v>
      </c>
      <c r="J86" s="2" t="str">
        <f t="shared" si="23"/>
        <v>94-120</v>
      </c>
      <c r="K86" s="2">
        <f t="shared" si="24"/>
        <v>-0.32</v>
      </c>
      <c r="L86">
        <v>325</v>
      </c>
      <c r="M86" t="str">
        <f t="shared" si="25"/>
        <v>351-400</v>
      </c>
      <c r="N86">
        <f t="shared" si="26"/>
        <v>0.17</v>
      </c>
      <c r="O86">
        <v>0</v>
      </c>
      <c r="P86">
        <f t="shared" si="27"/>
        <v>-0.02</v>
      </c>
      <c r="Q86">
        <v>0</v>
      </c>
      <c r="R86">
        <f t="shared" si="28"/>
        <v>-0.36</v>
      </c>
      <c r="S86">
        <v>172</v>
      </c>
      <c r="T86" t="str">
        <f t="shared" si="29"/>
        <v>161-190</v>
      </c>
      <c r="U86">
        <f t="shared" si="30"/>
        <v>-1.01</v>
      </c>
      <c r="V86">
        <v>0</v>
      </c>
      <c r="W86">
        <f t="shared" si="31"/>
        <v>-0.64</v>
      </c>
      <c r="X86">
        <v>0.2</v>
      </c>
      <c r="Y86" t="str">
        <f t="shared" si="32"/>
        <v>0.1-1.5</v>
      </c>
      <c r="Z86">
        <f t="shared" si="33"/>
        <v>-0.48</v>
      </c>
      <c r="AA86">
        <v>0</v>
      </c>
      <c r="AB86">
        <f t="shared" si="34"/>
        <v>-0.91</v>
      </c>
      <c r="AC86">
        <v>0</v>
      </c>
      <c r="AD86">
        <f t="shared" si="35"/>
        <v>-0.87</v>
      </c>
      <c r="AE86">
        <v>1</v>
      </c>
      <c r="AF86">
        <f t="shared" si="36"/>
        <v>-1.06</v>
      </c>
      <c r="AG86">
        <v>0</v>
      </c>
      <c r="AH86" t="str">
        <f t="shared" si="37"/>
        <v>No</v>
      </c>
    </row>
    <row r="87" spans="1:34">
      <c r="A87">
        <v>86</v>
      </c>
      <c r="B87">
        <v>44</v>
      </c>
      <c r="C87" t="str">
        <f t="shared" si="19"/>
        <v>37-46</v>
      </c>
      <c r="D87">
        <f t="shared" si="20"/>
        <v>-0.83</v>
      </c>
      <c r="E87">
        <v>1</v>
      </c>
      <c r="F87">
        <f t="shared" si="21"/>
        <v>0.38</v>
      </c>
      <c r="G87">
        <v>2</v>
      </c>
      <c r="H87">
        <f t="shared" si="22"/>
        <v>-1.1599999999999999</v>
      </c>
      <c r="I87">
        <v>140</v>
      </c>
      <c r="J87" s="2" t="str">
        <f t="shared" si="23"/>
        <v>121-150</v>
      </c>
      <c r="K87" s="2">
        <f t="shared" si="24"/>
        <v>0.04</v>
      </c>
      <c r="L87">
        <v>235</v>
      </c>
      <c r="M87" t="str">
        <f t="shared" si="25"/>
        <v>201-250</v>
      </c>
      <c r="N87">
        <f t="shared" si="26"/>
        <v>0.17</v>
      </c>
      <c r="O87">
        <v>0</v>
      </c>
      <c r="P87">
        <f t="shared" si="27"/>
        <v>-0.02</v>
      </c>
      <c r="Q87">
        <v>2</v>
      </c>
      <c r="R87">
        <f t="shared" si="28"/>
        <v>0.33</v>
      </c>
      <c r="S87">
        <v>180</v>
      </c>
      <c r="T87" t="str">
        <f t="shared" si="29"/>
        <v>161-190</v>
      </c>
      <c r="U87">
        <f t="shared" si="30"/>
        <v>-1.01</v>
      </c>
      <c r="V87">
        <v>0</v>
      </c>
      <c r="W87">
        <f t="shared" si="31"/>
        <v>-0.64</v>
      </c>
      <c r="X87">
        <v>0</v>
      </c>
      <c r="Y87" t="str">
        <f t="shared" si="32"/>
        <v>0.1-1.5</v>
      </c>
      <c r="Z87">
        <f t="shared" si="33"/>
        <v>-0.48</v>
      </c>
      <c r="AA87">
        <v>0</v>
      </c>
      <c r="AB87">
        <f t="shared" si="34"/>
        <v>-0.91</v>
      </c>
      <c r="AC87">
        <v>0</v>
      </c>
      <c r="AD87">
        <f t="shared" si="35"/>
        <v>-0.87</v>
      </c>
      <c r="AE87">
        <v>1</v>
      </c>
      <c r="AF87">
        <f t="shared" si="36"/>
        <v>-1.06</v>
      </c>
      <c r="AG87">
        <v>0</v>
      </c>
      <c r="AH87" t="str">
        <f t="shared" si="37"/>
        <v>No</v>
      </c>
    </row>
    <row r="88" spans="1:34">
      <c r="A88">
        <v>87</v>
      </c>
      <c r="B88">
        <v>47</v>
      </c>
      <c r="C88" t="str">
        <f t="shared" si="19"/>
        <v>47-56</v>
      </c>
      <c r="D88">
        <f t="shared" si="20"/>
        <v>-0.28000000000000003</v>
      </c>
      <c r="E88">
        <v>1</v>
      </c>
      <c r="F88">
        <f t="shared" si="21"/>
        <v>0.38</v>
      </c>
      <c r="G88">
        <v>2</v>
      </c>
      <c r="H88">
        <f t="shared" si="22"/>
        <v>-1.1599999999999999</v>
      </c>
      <c r="I88">
        <v>138</v>
      </c>
      <c r="J88" s="2" t="str">
        <f t="shared" si="23"/>
        <v>121-150</v>
      </c>
      <c r="K88" s="2">
        <f t="shared" si="24"/>
        <v>0.04</v>
      </c>
      <c r="L88">
        <v>257</v>
      </c>
      <c r="M88" t="str">
        <f t="shared" si="25"/>
        <v>251-300</v>
      </c>
      <c r="N88">
        <f t="shared" si="26"/>
        <v>0.48</v>
      </c>
      <c r="O88">
        <v>0</v>
      </c>
      <c r="P88">
        <f t="shared" si="27"/>
        <v>-0.02</v>
      </c>
      <c r="Q88">
        <v>2</v>
      </c>
      <c r="R88">
        <f t="shared" si="28"/>
        <v>0.33</v>
      </c>
      <c r="S88">
        <v>156</v>
      </c>
      <c r="T88" t="str">
        <f t="shared" si="29"/>
        <v>131-160</v>
      </c>
      <c r="U88">
        <f t="shared" si="30"/>
        <v>0.2</v>
      </c>
      <c r="V88">
        <v>0</v>
      </c>
      <c r="W88">
        <f t="shared" si="31"/>
        <v>-0.64</v>
      </c>
      <c r="X88">
        <v>0</v>
      </c>
      <c r="Y88" t="str">
        <f t="shared" si="32"/>
        <v>0.1-1.5</v>
      </c>
      <c r="Z88">
        <f t="shared" si="33"/>
        <v>-0.48</v>
      </c>
      <c r="AA88">
        <v>0</v>
      </c>
      <c r="AB88">
        <f t="shared" si="34"/>
        <v>-0.91</v>
      </c>
      <c r="AC88">
        <v>0</v>
      </c>
      <c r="AD88">
        <f t="shared" si="35"/>
        <v>-0.87</v>
      </c>
      <c r="AE88">
        <v>1</v>
      </c>
      <c r="AF88">
        <f t="shared" si="36"/>
        <v>-1.06</v>
      </c>
      <c r="AG88">
        <v>0</v>
      </c>
      <c r="AH88" t="str">
        <f t="shared" si="37"/>
        <v>No</v>
      </c>
    </row>
    <row r="89" spans="1:34">
      <c r="A89">
        <v>88</v>
      </c>
      <c r="B89">
        <v>53</v>
      </c>
      <c r="C89" t="str">
        <f t="shared" si="19"/>
        <v>47-56</v>
      </c>
      <c r="D89">
        <f t="shared" si="20"/>
        <v>-0.28000000000000003</v>
      </c>
      <c r="E89">
        <v>0</v>
      </c>
      <c r="F89">
        <f t="shared" si="21"/>
        <v>-0.89</v>
      </c>
      <c r="G89">
        <v>2</v>
      </c>
      <c r="H89">
        <f t="shared" si="22"/>
        <v>-1.1599999999999999</v>
      </c>
      <c r="I89">
        <v>128</v>
      </c>
      <c r="J89" s="2" t="str">
        <f t="shared" si="23"/>
        <v>121-150</v>
      </c>
      <c r="K89" s="2">
        <f t="shared" si="24"/>
        <v>0.04</v>
      </c>
      <c r="L89">
        <v>216</v>
      </c>
      <c r="M89" t="str">
        <f t="shared" si="25"/>
        <v>201-250</v>
      </c>
      <c r="N89">
        <f t="shared" si="26"/>
        <v>0.17</v>
      </c>
      <c r="O89">
        <v>0</v>
      </c>
      <c r="P89">
        <f t="shared" si="27"/>
        <v>-0.02</v>
      </c>
      <c r="Q89">
        <v>2</v>
      </c>
      <c r="R89">
        <f t="shared" si="28"/>
        <v>0.33</v>
      </c>
      <c r="S89">
        <v>115</v>
      </c>
      <c r="T89" t="str">
        <f t="shared" si="29"/>
        <v>101-130</v>
      </c>
      <c r="U89">
        <f t="shared" si="30"/>
        <v>1.1499999999999999</v>
      </c>
      <c r="V89">
        <v>0</v>
      </c>
      <c r="W89">
        <f t="shared" si="31"/>
        <v>-0.64</v>
      </c>
      <c r="X89">
        <v>0</v>
      </c>
      <c r="Y89" t="str">
        <f t="shared" si="32"/>
        <v>0.1-1.5</v>
      </c>
      <c r="Z89">
        <f t="shared" si="33"/>
        <v>-0.48</v>
      </c>
      <c r="AA89">
        <v>0</v>
      </c>
      <c r="AB89">
        <f t="shared" si="34"/>
        <v>-0.91</v>
      </c>
      <c r="AC89">
        <v>0</v>
      </c>
      <c r="AD89">
        <f t="shared" si="35"/>
        <v>-0.87</v>
      </c>
      <c r="AE89">
        <v>1</v>
      </c>
      <c r="AF89">
        <f t="shared" si="36"/>
        <v>-1.06</v>
      </c>
      <c r="AG89">
        <v>0</v>
      </c>
      <c r="AH89" t="str">
        <f t="shared" si="37"/>
        <v>No</v>
      </c>
    </row>
    <row r="90" spans="1:34">
      <c r="A90">
        <v>89</v>
      </c>
      <c r="B90">
        <v>53</v>
      </c>
      <c r="C90" t="str">
        <f t="shared" si="19"/>
        <v>47-56</v>
      </c>
      <c r="D90">
        <f t="shared" si="20"/>
        <v>-0.28000000000000003</v>
      </c>
      <c r="E90">
        <v>0</v>
      </c>
      <c r="F90">
        <f t="shared" si="21"/>
        <v>-0.89</v>
      </c>
      <c r="G90">
        <v>3</v>
      </c>
      <c r="H90">
        <f t="shared" si="22"/>
        <v>1.1599999999999999</v>
      </c>
      <c r="I90">
        <v>138</v>
      </c>
      <c r="J90" s="2" t="str">
        <f t="shared" si="23"/>
        <v>121-150</v>
      </c>
      <c r="K90" s="2">
        <f t="shared" si="24"/>
        <v>0.04</v>
      </c>
      <c r="L90">
        <v>234</v>
      </c>
      <c r="M90" t="str">
        <f t="shared" si="25"/>
        <v>201-250</v>
      </c>
      <c r="N90">
        <f t="shared" si="26"/>
        <v>0.17</v>
      </c>
      <c r="O90">
        <v>0</v>
      </c>
      <c r="P90">
        <f t="shared" si="27"/>
        <v>-0.02</v>
      </c>
      <c r="Q90">
        <v>2</v>
      </c>
      <c r="R90">
        <f t="shared" si="28"/>
        <v>0.33</v>
      </c>
      <c r="S90">
        <v>160</v>
      </c>
      <c r="T90" t="str">
        <f t="shared" si="29"/>
        <v>131-160</v>
      </c>
      <c r="U90">
        <f t="shared" si="30"/>
        <v>0.2</v>
      </c>
      <c r="V90">
        <v>0</v>
      </c>
      <c r="W90">
        <f t="shared" si="31"/>
        <v>-0.64</v>
      </c>
      <c r="X90">
        <v>0</v>
      </c>
      <c r="Y90" t="str">
        <f t="shared" si="32"/>
        <v>0.1-1.5</v>
      </c>
      <c r="Z90">
        <f t="shared" si="33"/>
        <v>-0.48</v>
      </c>
      <c r="AA90">
        <v>0</v>
      </c>
      <c r="AB90">
        <f t="shared" si="34"/>
        <v>-0.91</v>
      </c>
      <c r="AC90">
        <v>0</v>
      </c>
      <c r="AD90">
        <f t="shared" si="35"/>
        <v>-0.87</v>
      </c>
      <c r="AE90">
        <v>1</v>
      </c>
      <c r="AF90">
        <f t="shared" si="36"/>
        <v>-1.06</v>
      </c>
      <c r="AG90">
        <v>0</v>
      </c>
      <c r="AH90" t="str">
        <f t="shared" si="37"/>
        <v>No</v>
      </c>
    </row>
    <row r="91" spans="1:34">
      <c r="A91">
        <v>90</v>
      </c>
      <c r="B91">
        <v>51</v>
      </c>
      <c r="C91" t="str">
        <f t="shared" si="19"/>
        <v>47-56</v>
      </c>
      <c r="D91">
        <f t="shared" si="20"/>
        <v>-0.28000000000000003</v>
      </c>
      <c r="E91">
        <v>0</v>
      </c>
      <c r="F91">
        <f t="shared" si="21"/>
        <v>-0.89</v>
      </c>
      <c r="G91">
        <v>2</v>
      </c>
      <c r="H91">
        <f t="shared" si="22"/>
        <v>-1.1599999999999999</v>
      </c>
      <c r="I91">
        <v>130</v>
      </c>
      <c r="J91" s="2" t="str">
        <f t="shared" si="23"/>
        <v>121-150</v>
      </c>
      <c r="K91" s="2">
        <f t="shared" si="24"/>
        <v>0.04</v>
      </c>
      <c r="L91">
        <v>256</v>
      </c>
      <c r="M91" t="str">
        <f t="shared" si="25"/>
        <v>251-300</v>
      </c>
      <c r="N91">
        <f t="shared" si="26"/>
        <v>0.48</v>
      </c>
      <c r="O91">
        <v>0</v>
      </c>
      <c r="P91">
        <f t="shared" si="27"/>
        <v>-0.02</v>
      </c>
      <c r="Q91">
        <v>2</v>
      </c>
      <c r="R91">
        <f t="shared" si="28"/>
        <v>0.33</v>
      </c>
      <c r="S91">
        <v>149</v>
      </c>
      <c r="T91" t="str">
        <f t="shared" si="29"/>
        <v>131-160</v>
      </c>
      <c r="U91">
        <f t="shared" si="30"/>
        <v>0.2</v>
      </c>
      <c r="V91">
        <v>0</v>
      </c>
      <c r="W91">
        <f t="shared" si="31"/>
        <v>-0.64</v>
      </c>
      <c r="X91">
        <v>0.5</v>
      </c>
      <c r="Y91" t="str">
        <f t="shared" si="32"/>
        <v>0.1-1.5</v>
      </c>
      <c r="Z91">
        <f t="shared" si="33"/>
        <v>-0.48</v>
      </c>
      <c r="AA91">
        <v>0</v>
      </c>
      <c r="AB91">
        <f t="shared" si="34"/>
        <v>-0.91</v>
      </c>
      <c r="AC91">
        <v>0</v>
      </c>
      <c r="AD91">
        <f t="shared" si="35"/>
        <v>-0.87</v>
      </c>
      <c r="AE91">
        <v>1</v>
      </c>
      <c r="AF91">
        <f t="shared" si="36"/>
        <v>-1.06</v>
      </c>
      <c r="AG91">
        <v>0</v>
      </c>
      <c r="AH91" t="str">
        <f t="shared" si="37"/>
        <v>No</v>
      </c>
    </row>
    <row r="92" spans="1:34">
      <c r="A92">
        <v>91</v>
      </c>
      <c r="B92">
        <v>66</v>
      </c>
      <c r="C92" t="str">
        <f t="shared" si="19"/>
        <v>57-66</v>
      </c>
      <c r="D92">
        <f t="shared" si="20"/>
        <v>0.64</v>
      </c>
      <c r="E92">
        <v>1</v>
      </c>
      <c r="F92">
        <f t="shared" si="21"/>
        <v>0.38</v>
      </c>
      <c r="G92">
        <v>3</v>
      </c>
      <c r="H92">
        <f t="shared" si="22"/>
        <v>1.1599999999999999</v>
      </c>
      <c r="I92">
        <v>120</v>
      </c>
      <c r="J92" s="2" t="str">
        <f t="shared" si="23"/>
        <v>94-120</v>
      </c>
      <c r="K92" s="2">
        <f t="shared" si="24"/>
        <v>-0.32</v>
      </c>
      <c r="L92">
        <v>302</v>
      </c>
      <c r="M92" t="str">
        <f t="shared" si="25"/>
        <v>351-400</v>
      </c>
      <c r="N92">
        <f t="shared" si="26"/>
        <v>0.17</v>
      </c>
      <c r="O92">
        <v>0</v>
      </c>
      <c r="P92">
        <f t="shared" si="27"/>
        <v>-0.02</v>
      </c>
      <c r="Q92">
        <v>2</v>
      </c>
      <c r="R92">
        <f t="shared" si="28"/>
        <v>0.33</v>
      </c>
      <c r="S92">
        <v>151</v>
      </c>
      <c r="T92" t="str">
        <f t="shared" si="29"/>
        <v>131-160</v>
      </c>
      <c r="U92">
        <f t="shared" si="30"/>
        <v>0.2</v>
      </c>
      <c r="V92">
        <v>0</v>
      </c>
      <c r="W92">
        <f t="shared" si="31"/>
        <v>-0.64</v>
      </c>
      <c r="X92">
        <v>0.4</v>
      </c>
      <c r="Y92" t="str">
        <f t="shared" si="32"/>
        <v>0.1-1.5</v>
      </c>
      <c r="Z92">
        <f t="shared" si="33"/>
        <v>-0.48</v>
      </c>
      <c r="AA92">
        <v>1</v>
      </c>
      <c r="AB92">
        <f t="shared" si="34"/>
        <v>0.78</v>
      </c>
      <c r="AC92">
        <v>0</v>
      </c>
      <c r="AD92">
        <f t="shared" si="35"/>
        <v>-0.87</v>
      </c>
      <c r="AE92">
        <v>1</v>
      </c>
      <c r="AF92">
        <f t="shared" si="36"/>
        <v>-1.06</v>
      </c>
      <c r="AG92">
        <v>0</v>
      </c>
      <c r="AH92" t="str">
        <f t="shared" si="37"/>
        <v>No</v>
      </c>
    </row>
    <row r="93" spans="1:34">
      <c r="A93">
        <v>92</v>
      </c>
      <c r="B93">
        <v>62</v>
      </c>
      <c r="C93" t="str">
        <f t="shared" si="19"/>
        <v>57-66</v>
      </c>
      <c r="D93">
        <f t="shared" si="20"/>
        <v>0.64</v>
      </c>
      <c r="E93">
        <v>0</v>
      </c>
      <c r="F93">
        <f t="shared" si="21"/>
        <v>-0.89</v>
      </c>
      <c r="G93">
        <v>3</v>
      </c>
      <c r="H93">
        <f t="shared" si="22"/>
        <v>1.1599999999999999</v>
      </c>
      <c r="I93">
        <v>160</v>
      </c>
      <c r="J93" s="2" t="str">
        <f t="shared" si="23"/>
        <v>151-180</v>
      </c>
      <c r="K93" s="2">
        <f t="shared" si="24"/>
        <v>0.56999999999999995</v>
      </c>
      <c r="L93">
        <v>164</v>
      </c>
      <c r="M93" t="str">
        <f t="shared" si="25"/>
        <v>126-200</v>
      </c>
      <c r="N93">
        <f t="shared" si="26"/>
        <v>-0.16</v>
      </c>
      <c r="O93">
        <v>0</v>
      </c>
      <c r="P93">
        <f t="shared" si="27"/>
        <v>-0.02</v>
      </c>
      <c r="Q93">
        <v>2</v>
      </c>
      <c r="R93">
        <f t="shared" si="28"/>
        <v>0.33</v>
      </c>
      <c r="S93">
        <v>145</v>
      </c>
      <c r="T93" t="str">
        <f t="shared" si="29"/>
        <v>131-160</v>
      </c>
      <c r="U93">
        <f t="shared" si="30"/>
        <v>0.2</v>
      </c>
      <c r="V93">
        <v>0</v>
      </c>
      <c r="W93">
        <f t="shared" si="31"/>
        <v>-0.64</v>
      </c>
      <c r="X93">
        <v>6.2</v>
      </c>
      <c r="Y93" t="str">
        <f t="shared" si="32"/>
        <v>4+</v>
      </c>
      <c r="Z93">
        <f t="shared" si="33"/>
        <v>1.55</v>
      </c>
      <c r="AA93">
        <v>2</v>
      </c>
      <c r="AB93">
        <f t="shared" si="34"/>
        <v>0.45</v>
      </c>
      <c r="AC93">
        <v>3</v>
      </c>
      <c r="AD93">
        <f t="shared" si="35"/>
        <v>1.9</v>
      </c>
      <c r="AE93">
        <v>3</v>
      </c>
      <c r="AF93">
        <f t="shared" si="36"/>
        <v>1.32</v>
      </c>
      <c r="AG93">
        <v>1</v>
      </c>
      <c r="AH93" t="str">
        <f t="shared" si="37"/>
        <v>Yes</v>
      </c>
    </row>
    <row r="94" spans="1:34">
      <c r="A94">
        <v>93</v>
      </c>
      <c r="B94">
        <v>62</v>
      </c>
      <c r="C94" t="str">
        <f t="shared" si="19"/>
        <v>57-66</v>
      </c>
      <c r="D94">
        <f t="shared" si="20"/>
        <v>0.64</v>
      </c>
      <c r="E94">
        <v>1</v>
      </c>
      <c r="F94">
        <f t="shared" si="21"/>
        <v>0.38</v>
      </c>
      <c r="G94">
        <v>2</v>
      </c>
      <c r="H94">
        <f t="shared" si="22"/>
        <v>-1.1599999999999999</v>
      </c>
      <c r="I94">
        <v>130</v>
      </c>
      <c r="J94" s="2" t="str">
        <f t="shared" si="23"/>
        <v>121-150</v>
      </c>
      <c r="K94" s="2">
        <f t="shared" si="24"/>
        <v>0.04</v>
      </c>
      <c r="L94">
        <v>231</v>
      </c>
      <c r="M94" t="str">
        <f t="shared" si="25"/>
        <v>201-250</v>
      </c>
      <c r="N94">
        <f t="shared" si="26"/>
        <v>0.17</v>
      </c>
      <c r="O94">
        <v>0</v>
      </c>
      <c r="P94">
        <f t="shared" si="27"/>
        <v>-0.02</v>
      </c>
      <c r="Q94">
        <v>0</v>
      </c>
      <c r="R94">
        <f t="shared" si="28"/>
        <v>-0.36</v>
      </c>
      <c r="S94">
        <v>146</v>
      </c>
      <c r="T94" t="str">
        <f t="shared" si="29"/>
        <v>131-160</v>
      </c>
      <c r="U94">
        <f t="shared" si="30"/>
        <v>0.2</v>
      </c>
      <c r="V94">
        <v>0</v>
      </c>
      <c r="W94">
        <f t="shared" si="31"/>
        <v>-0.64</v>
      </c>
      <c r="X94">
        <v>1.8</v>
      </c>
      <c r="Y94" t="str">
        <f t="shared" si="32"/>
        <v>1.6-2.8</v>
      </c>
      <c r="Z94">
        <f t="shared" si="33"/>
        <v>0.99</v>
      </c>
      <c r="AA94">
        <v>1</v>
      </c>
      <c r="AB94">
        <f t="shared" si="34"/>
        <v>0.78</v>
      </c>
      <c r="AC94">
        <v>3</v>
      </c>
      <c r="AD94">
        <f t="shared" si="35"/>
        <v>1.9</v>
      </c>
      <c r="AE94">
        <v>3</v>
      </c>
      <c r="AF94">
        <f t="shared" si="36"/>
        <v>1.32</v>
      </c>
      <c r="AG94">
        <v>0</v>
      </c>
      <c r="AH94" t="str">
        <f t="shared" si="37"/>
        <v>No</v>
      </c>
    </row>
    <row r="95" spans="1:34">
      <c r="A95">
        <v>94</v>
      </c>
      <c r="B95">
        <v>44</v>
      </c>
      <c r="C95" t="str">
        <f t="shared" si="19"/>
        <v>37-46</v>
      </c>
      <c r="D95">
        <f t="shared" si="20"/>
        <v>-0.83</v>
      </c>
      <c r="E95">
        <v>0</v>
      </c>
      <c r="F95">
        <f t="shared" si="21"/>
        <v>-0.89</v>
      </c>
      <c r="G95">
        <v>2</v>
      </c>
      <c r="H95">
        <f t="shared" si="22"/>
        <v>-1.1599999999999999</v>
      </c>
      <c r="I95">
        <v>108</v>
      </c>
      <c r="J95" s="2" t="str">
        <f t="shared" si="23"/>
        <v>94-120</v>
      </c>
      <c r="K95" s="2">
        <f t="shared" si="24"/>
        <v>-0.32</v>
      </c>
      <c r="L95">
        <v>141</v>
      </c>
      <c r="M95" t="str">
        <f t="shared" si="25"/>
        <v>126-200</v>
      </c>
      <c r="N95">
        <f t="shared" si="26"/>
        <v>-0.16</v>
      </c>
      <c r="O95">
        <v>0</v>
      </c>
      <c r="P95">
        <f t="shared" si="27"/>
        <v>-0.02</v>
      </c>
      <c r="Q95">
        <v>0</v>
      </c>
      <c r="R95">
        <f t="shared" si="28"/>
        <v>-0.36</v>
      </c>
      <c r="S95">
        <v>175</v>
      </c>
      <c r="T95" t="str">
        <f t="shared" si="29"/>
        <v>161-190</v>
      </c>
      <c r="U95">
        <f t="shared" si="30"/>
        <v>-1.01</v>
      </c>
      <c r="V95">
        <v>0</v>
      </c>
      <c r="W95">
        <f t="shared" si="31"/>
        <v>-0.64</v>
      </c>
      <c r="X95">
        <v>0.6</v>
      </c>
      <c r="Y95" t="str">
        <f t="shared" si="32"/>
        <v>0.1-1.5</v>
      </c>
      <c r="Z95">
        <f t="shared" si="33"/>
        <v>-0.48</v>
      </c>
      <c r="AA95">
        <v>1</v>
      </c>
      <c r="AB95">
        <f t="shared" si="34"/>
        <v>0.78</v>
      </c>
      <c r="AC95">
        <v>0</v>
      </c>
      <c r="AD95">
        <f t="shared" si="35"/>
        <v>-0.87</v>
      </c>
      <c r="AE95">
        <v>1</v>
      </c>
      <c r="AF95">
        <f t="shared" si="36"/>
        <v>-1.06</v>
      </c>
      <c r="AG95">
        <v>0</v>
      </c>
      <c r="AH95" t="str">
        <f t="shared" si="37"/>
        <v>No</v>
      </c>
    </row>
    <row r="96" spans="1:34">
      <c r="A96">
        <v>95</v>
      </c>
      <c r="B96">
        <v>63</v>
      </c>
      <c r="C96" t="str">
        <f t="shared" si="19"/>
        <v>57-66</v>
      </c>
      <c r="D96">
        <f t="shared" si="20"/>
        <v>0.64</v>
      </c>
      <c r="E96">
        <v>0</v>
      </c>
      <c r="F96">
        <f t="shared" si="21"/>
        <v>-0.89</v>
      </c>
      <c r="G96">
        <v>2</v>
      </c>
      <c r="H96">
        <f t="shared" si="22"/>
        <v>-1.1599999999999999</v>
      </c>
      <c r="I96">
        <v>135</v>
      </c>
      <c r="J96" s="2" t="str">
        <f t="shared" si="23"/>
        <v>121-150</v>
      </c>
      <c r="K96" s="2">
        <f t="shared" si="24"/>
        <v>0.04</v>
      </c>
      <c r="L96">
        <v>252</v>
      </c>
      <c r="M96" t="str">
        <f t="shared" si="25"/>
        <v>251-300</v>
      </c>
      <c r="N96">
        <f t="shared" si="26"/>
        <v>0.48</v>
      </c>
      <c r="O96">
        <v>0</v>
      </c>
      <c r="P96">
        <f t="shared" si="27"/>
        <v>-0.02</v>
      </c>
      <c r="Q96">
        <v>2</v>
      </c>
      <c r="R96">
        <f t="shared" si="28"/>
        <v>0.33</v>
      </c>
      <c r="S96">
        <v>172</v>
      </c>
      <c r="T96" t="str">
        <f t="shared" si="29"/>
        <v>161-190</v>
      </c>
      <c r="U96">
        <f t="shared" si="30"/>
        <v>-1.01</v>
      </c>
      <c r="V96">
        <v>0</v>
      </c>
      <c r="W96">
        <f t="shared" si="31"/>
        <v>-0.64</v>
      </c>
      <c r="X96">
        <v>0</v>
      </c>
      <c r="Y96" t="str">
        <f t="shared" si="32"/>
        <v>0.1-1.5</v>
      </c>
      <c r="Z96">
        <f t="shared" si="33"/>
        <v>-0.48</v>
      </c>
      <c r="AA96">
        <v>0</v>
      </c>
      <c r="AB96">
        <f t="shared" si="34"/>
        <v>-0.91</v>
      </c>
      <c r="AC96">
        <v>0</v>
      </c>
      <c r="AD96">
        <f t="shared" si="35"/>
        <v>-0.87</v>
      </c>
      <c r="AE96">
        <v>1</v>
      </c>
      <c r="AF96">
        <f t="shared" si="36"/>
        <v>-1.06</v>
      </c>
      <c r="AG96">
        <v>0</v>
      </c>
      <c r="AH96" t="str">
        <f t="shared" si="37"/>
        <v>No</v>
      </c>
    </row>
    <row r="97" spans="1:34">
      <c r="A97">
        <v>96</v>
      </c>
      <c r="B97">
        <v>52</v>
      </c>
      <c r="C97" t="str">
        <f t="shared" si="19"/>
        <v>47-56</v>
      </c>
      <c r="D97">
        <f t="shared" si="20"/>
        <v>-0.28000000000000003</v>
      </c>
      <c r="E97">
        <v>1</v>
      </c>
      <c r="F97">
        <f t="shared" si="21"/>
        <v>0.38</v>
      </c>
      <c r="G97">
        <v>3</v>
      </c>
      <c r="H97">
        <f t="shared" si="22"/>
        <v>1.1599999999999999</v>
      </c>
      <c r="I97">
        <v>128</v>
      </c>
      <c r="J97" s="2" t="str">
        <f t="shared" si="23"/>
        <v>121-150</v>
      </c>
      <c r="K97" s="2">
        <f t="shared" si="24"/>
        <v>0.04</v>
      </c>
      <c r="L97">
        <v>255</v>
      </c>
      <c r="M97" t="str">
        <f t="shared" si="25"/>
        <v>251-300</v>
      </c>
      <c r="N97">
        <f t="shared" si="26"/>
        <v>0.48</v>
      </c>
      <c r="O97">
        <v>0</v>
      </c>
      <c r="P97">
        <f t="shared" si="27"/>
        <v>-0.02</v>
      </c>
      <c r="Q97">
        <v>0</v>
      </c>
      <c r="R97">
        <f t="shared" si="28"/>
        <v>-0.36</v>
      </c>
      <c r="S97">
        <v>161</v>
      </c>
      <c r="T97" t="str">
        <f t="shared" si="29"/>
        <v>161-190</v>
      </c>
      <c r="U97">
        <f t="shared" si="30"/>
        <v>-1.01</v>
      </c>
      <c r="V97">
        <v>1</v>
      </c>
      <c r="W97">
        <f t="shared" si="31"/>
        <v>1.36</v>
      </c>
      <c r="X97">
        <v>0</v>
      </c>
      <c r="Y97" t="str">
        <f t="shared" si="32"/>
        <v>0.1-1.5</v>
      </c>
      <c r="Z97">
        <f t="shared" si="33"/>
        <v>-0.48</v>
      </c>
      <c r="AA97">
        <v>0</v>
      </c>
      <c r="AB97">
        <f t="shared" si="34"/>
        <v>-0.91</v>
      </c>
      <c r="AC97">
        <v>1</v>
      </c>
      <c r="AD97">
        <f t="shared" si="35"/>
        <v>0.91</v>
      </c>
      <c r="AE97">
        <v>3</v>
      </c>
      <c r="AF97">
        <f t="shared" si="36"/>
        <v>1.32</v>
      </c>
      <c r="AG97">
        <v>1</v>
      </c>
      <c r="AH97" t="str">
        <f t="shared" si="37"/>
        <v>Yes</v>
      </c>
    </row>
    <row r="98" spans="1:34">
      <c r="A98">
        <v>97</v>
      </c>
      <c r="B98">
        <v>59</v>
      </c>
      <c r="C98" t="str">
        <f t="shared" si="19"/>
        <v>57-66</v>
      </c>
      <c r="D98">
        <f t="shared" si="20"/>
        <v>0.64</v>
      </c>
      <c r="E98">
        <v>1</v>
      </c>
      <c r="F98">
        <f t="shared" si="21"/>
        <v>0.38</v>
      </c>
      <c r="G98">
        <v>3</v>
      </c>
      <c r="H98">
        <f t="shared" si="22"/>
        <v>1.1599999999999999</v>
      </c>
      <c r="I98">
        <v>110</v>
      </c>
      <c r="J98" s="2" t="str">
        <f t="shared" si="23"/>
        <v>94-120</v>
      </c>
      <c r="K98" s="2">
        <f t="shared" si="24"/>
        <v>-0.32</v>
      </c>
      <c r="L98">
        <v>239</v>
      </c>
      <c r="M98" t="str">
        <f t="shared" si="25"/>
        <v>201-250</v>
      </c>
      <c r="N98">
        <f t="shared" si="26"/>
        <v>0.17</v>
      </c>
      <c r="O98">
        <v>0</v>
      </c>
      <c r="P98">
        <f t="shared" si="27"/>
        <v>-0.02</v>
      </c>
      <c r="Q98">
        <v>2</v>
      </c>
      <c r="R98">
        <f t="shared" si="28"/>
        <v>0.33</v>
      </c>
      <c r="S98">
        <v>142</v>
      </c>
      <c r="T98" t="str">
        <f t="shared" si="29"/>
        <v>131-160</v>
      </c>
      <c r="U98">
        <f t="shared" si="30"/>
        <v>0.2</v>
      </c>
      <c r="V98">
        <v>1</v>
      </c>
      <c r="W98">
        <f t="shared" si="31"/>
        <v>1.36</v>
      </c>
      <c r="X98">
        <v>1.2</v>
      </c>
      <c r="Y98" t="str">
        <f t="shared" si="32"/>
        <v>0.1-1.5</v>
      </c>
      <c r="Z98">
        <f t="shared" si="33"/>
        <v>-0.48</v>
      </c>
      <c r="AA98">
        <v>1</v>
      </c>
      <c r="AB98">
        <f t="shared" si="34"/>
        <v>0.78</v>
      </c>
      <c r="AC98">
        <v>1</v>
      </c>
      <c r="AD98">
        <f t="shared" si="35"/>
        <v>0.91</v>
      </c>
      <c r="AE98">
        <v>3</v>
      </c>
      <c r="AF98">
        <f t="shared" si="36"/>
        <v>1.32</v>
      </c>
      <c r="AG98">
        <v>1</v>
      </c>
      <c r="AH98" t="str">
        <f t="shared" si="37"/>
        <v>Yes</v>
      </c>
    </row>
    <row r="99" spans="1:34">
      <c r="A99">
        <v>98</v>
      </c>
      <c r="B99">
        <v>60</v>
      </c>
      <c r="C99" t="str">
        <f t="shared" si="19"/>
        <v>57-66</v>
      </c>
      <c r="D99">
        <f t="shared" si="20"/>
        <v>0.64</v>
      </c>
      <c r="E99">
        <v>0</v>
      </c>
      <c r="F99">
        <f t="shared" si="21"/>
        <v>-0.89</v>
      </c>
      <c r="G99">
        <v>3</v>
      </c>
      <c r="H99">
        <f t="shared" si="22"/>
        <v>1.1599999999999999</v>
      </c>
      <c r="I99">
        <v>150</v>
      </c>
      <c r="J99" s="2" t="str">
        <f t="shared" si="23"/>
        <v>121-150</v>
      </c>
      <c r="K99" s="2">
        <f t="shared" si="24"/>
        <v>0.04</v>
      </c>
      <c r="L99">
        <v>258</v>
      </c>
      <c r="M99" t="str">
        <f t="shared" si="25"/>
        <v>251-300</v>
      </c>
      <c r="N99">
        <f t="shared" si="26"/>
        <v>0.48</v>
      </c>
      <c r="O99">
        <v>0</v>
      </c>
      <c r="P99">
        <f t="shared" si="27"/>
        <v>-0.02</v>
      </c>
      <c r="Q99">
        <v>2</v>
      </c>
      <c r="R99">
        <f t="shared" si="28"/>
        <v>0.33</v>
      </c>
      <c r="S99">
        <v>157</v>
      </c>
      <c r="T99" t="str">
        <f t="shared" si="29"/>
        <v>131-160</v>
      </c>
      <c r="U99">
        <f t="shared" si="30"/>
        <v>0.2</v>
      </c>
      <c r="V99">
        <v>0</v>
      </c>
      <c r="W99">
        <f t="shared" si="31"/>
        <v>-0.64</v>
      </c>
      <c r="X99">
        <v>2.6</v>
      </c>
      <c r="Y99" t="str">
        <f t="shared" si="32"/>
        <v>1.6-2.8</v>
      </c>
      <c r="Z99">
        <f t="shared" si="33"/>
        <v>0.99</v>
      </c>
      <c r="AA99">
        <v>1</v>
      </c>
      <c r="AB99">
        <f t="shared" si="34"/>
        <v>0.78</v>
      </c>
      <c r="AC99">
        <v>2</v>
      </c>
      <c r="AD99">
        <f t="shared" si="35"/>
        <v>1.65</v>
      </c>
      <c r="AE99">
        <v>3</v>
      </c>
      <c r="AF99">
        <f t="shared" si="36"/>
        <v>1.32</v>
      </c>
      <c r="AG99">
        <v>1</v>
      </c>
      <c r="AH99" t="str">
        <f t="shared" si="37"/>
        <v>Yes</v>
      </c>
    </row>
    <row r="100" spans="1:34">
      <c r="A100">
        <v>99</v>
      </c>
      <c r="B100">
        <v>52</v>
      </c>
      <c r="C100" t="str">
        <f t="shared" si="19"/>
        <v>47-56</v>
      </c>
      <c r="D100">
        <f t="shared" si="20"/>
        <v>-0.28000000000000003</v>
      </c>
      <c r="E100">
        <v>1</v>
      </c>
      <c r="F100">
        <f t="shared" si="21"/>
        <v>0.38</v>
      </c>
      <c r="G100">
        <v>1</v>
      </c>
      <c r="H100">
        <f t="shared" si="22"/>
        <v>-1.35</v>
      </c>
      <c r="I100">
        <v>134</v>
      </c>
      <c r="J100" s="2" t="str">
        <f t="shared" si="23"/>
        <v>121-150</v>
      </c>
      <c r="K100" s="2">
        <f t="shared" si="24"/>
        <v>0.04</v>
      </c>
      <c r="L100">
        <v>201</v>
      </c>
      <c r="M100" t="str">
        <f t="shared" si="25"/>
        <v>201-250</v>
      </c>
      <c r="N100">
        <f t="shared" si="26"/>
        <v>0.17</v>
      </c>
      <c r="O100">
        <v>0</v>
      </c>
      <c r="P100">
        <f t="shared" si="27"/>
        <v>-0.02</v>
      </c>
      <c r="Q100">
        <v>0</v>
      </c>
      <c r="R100">
        <f t="shared" si="28"/>
        <v>-0.36</v>
      </c>
      <c r="S100">
        <v>158</v>
      </c>
      <c r="T100" t="str">
        <f t="shared" si="29"/>
        <v>131-160</v>
      </c>
      <c r="U100">
        <f t="shared" si="30"/>
        <v>0.2</v>
      </c>
      <c r="V100">
        <v>0</v>
      </c>
      <c r="W100">
        <f t="shared" si="31"/>
        <v>-0.64</v>
      </c>
      <c r="X100">
        <v>0.8</v>
      </c>
      <c r="Y100" t="str">
        <f t="shared" si="32"/>
        <v>0.1-1.5</v>
      </c>
      <c r="Z100">
        <f t="shared" si="33"/>
        <v>-0.48</v>
      </c>
      <c r="AA100">
        <v>0</v>
      </c>
      <c r="AB100">
        <f t="shared" si="34"/>
        <v>-0.91</v>
      </c>
      <c r="AC100">
        <v>1</v>
      </c>
      <c r="AD100">
        <f t="shared" si="35"/>
        <v>0.91</v>
      </c>
      <c r="AE100">
        <v>1</v>
      </c>
      <c r="AF100">
        <f t="shared" si="36"/>
        <v>-1.06</v>
      </c>
      <c r="AG100">
        <v>0</v>
      </c>
      <c r="AH100" t="str">
        <f t="shared" si="37"/>
        <v>No</v>
      </c>
    </row>
    <row r="101" spans="1:34">
      <c r="A101">
        <v>100</v>
      </c>
      <c r="B101">
        <v>48</v>
      </c>
      <c r="C101" t="str">
        <f t="shared" si="19"/>
        <v>47-56</v>
      </c>
      <c r="D101">
        <f t="shared" si="20"/>
        <v>-0.28000000000000003</v>
      </c>
      <c r="E101">
        <v>1</v>
      </c>
      <c r="F101">
        <f t="shared" si="21"/>
        <v>0.38</v>
      </c>
      <c r="G101">
        <v>3</v>
      </c>
      <c r="H101">
        <f t="shared" si="22"/>
        <v>1.1599999999999999</v>
      </c>
      <c r="I101">
        <v>122</v>
      </c>
      <c r="J101" s="2" t="str">
        <f t="shared" si="23"/>
        <v>121-150</v>
      </c>
      <c r="K101" s="2">
        <f t="shared" si="24"/>
        <v>0.04</v>
      </c>
      <c r="L101">
        <v>222</v>
      </c>
      <c r="M101" t="str">
        <f t="shared" si="25"/>
        <v>201-250</v>
      </c>
      <c r="N101">
        <f t="shared" si="26"/>
        <v>0.17</v>
      </c>
      <c r="O101">
        <v>0</v>
      </c>
      <c r="P101">
        <f t="shared" si="27"/>
        <v>-0.02</v>
      </c>
      <c r="Q101">
        <v>2</v>
      </c>
      <c r="R101">
        <f t="shared" si="28"/>
        <v>0.33</v>
      </c>
      <c r="S101">
        <v>186</v>
      </c>
      <c r="T101" t="str">
        <f t="shared" si="29"/>
        <v>161-190</v>
      </c>
      <c r="U101">
        <f t="shared" si="30"/>
        <v>-1.01</v>
      </c>
      <c r="V101">
        <v>0</v>
      </c>
      <c r="W101">
        <f t="shared" si="31"/>
        <v>-0.64</v>
      </c>
      <c r="X101">
        <v>0</v>
      </c>
      <c r="Y101" t="str">
        <f t="shared" si="32"/>
        <v>0.1-1.5</v>
      </c>
      <c r="Z101">
        <f t="shared" si="33"/>
        <v>-0.48</v>
      </c>
      <c r="AA101">
        <v>0</v>
      </c>
      <c r="AB101">
        <f t="shared" si="34"/>
        <v>-0.91</v>
      </c>
      <c r="AC101">
        <v>0</v>
      </c>
      <c r="AD101">
        <f t="shared" si="35"/>
        <v>-0.87</v>
      </c>
      <c r="AE101">
        <v>1</v>
      </c>
      <c r="AF101">
        <f t="shared" si="36"/>
        <v>-1.06</v>
      </c>
      <c r="AG101">
        <v>0</v>
      </c>
      <c r="AH101" t="str">
        <f t="shared" si="37"/>
        <v>No</v>
      </c>
    </row>
    <row r="102" spans="1:34">
      <c r="A102">
        <v>101</v>
      </c>
      <c r="B102">
        <v>45</v>
      </c>
      <c r="C102" t="str">
        <f t="shared" si="19"/>
        <v>37-46</v>
      </c>
      <c r="D102">
        <f t="shared" si="20"/>
        <v>-0.83</v>
      </c>
      <c r="E102">
        <v>1</v>
      </c>
      <c r="F102">
        <f t="shared" si="21"/>
        <v>0.38</v>
      </c>
      <c r="G102">
        <v>3</v>
      </c>
      <c r="H102">
        <f t="shared" si="22"/>
        <v>1.1599999999999999</v>
      </c>
      <c r="I102">
        <v>115</v>
      </c>
      <c r="J102" s="2" t="str">
        <f t="shared" si="23"/>
        <v>94-120</v>
      </c>
      <c r="K102" s="2">
        <f t="shared" si="24"/>
        <v>-0.32</v>
      </c>
      <c r="L102">
        <v>260</v>
      </c>
      <c r="M102" t="str">
        <f t="shared" si="25"/>
        <v>251-300</v>
      </c>
      <c r="N102">
        <f t="shared" si="26"/>
        <v>0.48</v>
      </c>
      <c r="O102">
        <v>0</v>
      </c>
      <c r="P102">
        <f t="shared" si="27"/>
        <v>-0.02</v>
      </c>
      <c r="Q102">
        <v>2</v>
      </c>
      <c r="R102">
        <f t="shared" si="28"/>
        <v>0.33</v>
      </c>
      <c r="S102">
        <v>185</v>
      </c>
      <c r="T102" t="str">
        <f t="shared" si="29"/>
        <v>161-190</v>
      </c>
      <c r="U102">
        <f t="shared" si="30"/>
        <v>-1.01</v>
      </c>
      <c r="V102">
        <v>0</v>
      </c>
      <c r="W102">
        <f t="shared" si="31"/>
        <v>-0.64</v>
      </c>
      <c r="X102">
        <v>0</v>
      </c>
      <c r="Y102" t="str">
        <f t="shared" si="32"/>
        <v>0.1-1.5</v>
      </c>
      <c r="Z102">
        <f t="shared" si="33"/>
        <v>-0.48</v>
      </c>
      <c r="AA102">
        <v>0</v>
      </c>
      <c r="AB102">
        <f t="shared" si="34"/>
        <v>-0.91</v>
      </c>
      <c r="AC102">
        <v>0</v>
      </c>
      <c r="AD102">
        <f t="shared" si="35"/>
        <v>-0.87</v>
      </c>
      <c r="AE102">
        <v>1</v>
      </c>
      <c r="AF102">
        <f t="shared" si="36"/>
        <v>-1.06</v>
      </c>
      <c r="AG102">
        <v>0</v>
      </c>
      <c r="AH102" t="str">
        <f t="shared" si="37"/>
        <v>No</v>
      </c>
    </row>
    <row r="103" spans="1:34">
      <c r="A103">
        <v>102</v>
      </c>
      <c r="B103">
        <v>34</v>
      </c>
      <c r="C103" t="str">
        <f t="shared" si="19"/>
        <v>27-36</v>
      </c>
      <c r="D103">
        <f t="shared" si="20"/>
        <v>-0.75</v>
      </c>
      <c r="E103">
        <v>1</v>
      </c>
      <c r="F103">
        <f t="shared" si="21"/>
        <v>0.38</v>
      </c>
      <c r="G103">
        <v>0</v>
      </c>
      <c r="H103">
        <f t="shared" si="22"/>
        <v>-0.66</v>
      </c>
      <c r="I103">
        <v>118</v>
      </c>
      <c r="J103" s="2" t="str">
        <f t="shared" si="23"/>
        <v>94-120</v>
      </c>
      <c r="K103" s="2">
        <f t="shared" si="24"/>
        <v>-0.32</v>
      </c>
      <c r="L103">
        <v>182</v>
      </c>
      <c r="M103" t="str">
        <f t="shared" si="25"/>
        <v>126-200</v>
      </c>
      <c r="N103">
        <f t="shared" si="26"/>
        <v>-0.16</v>
      </c>
      <c r="O103">
        <v>0</v>
      </c>
      <c r="P103">
        <f t="shared" si="27"/>
        <v>-0.02</v>
      </c>
      <c r="Q103">
        <v>2</v>
      </c>
      <c r="R103">
        <f t="shared" si="28"/>
        <v>0.33</v>
      </c>
      <c r="S103">
        <v>174</v>
      </c>
      <c r="T103" t="str">
        <f t="shared" si="29"/>
        <v>161-190</v>
      </c>
      <c r="U103">
        <f t="shared" si="30"/>
        <v>-1.01</v>
      </c>
      <c r="V103">
        <v>0</v>
      </c>
      <c r="W103">
        <f t="shared" si="31"/>
        <v>-0.64</v>
      </c>
      <c r="X103">
        <v>0</v>
      </c>
      <c r="Y103" t="str">
        <f t="shared" si="32"/>
        <v>0.1-1.5</v>
      </c>
      <c r="Z103">
        <f t="shared" si="33"/>
        <v>-0.48</v>
      </c>
      <c r="AA103">
        <v>0</v>
      </c>
      <c r="AB103">
        <f t="shared" si="34"/>
        <v>-0.91</v>
      </c>
      <c r="AC103">
        <v>0</v>
      </c>
      <c r="AD103">
        <f t="shared" si="35"/>
        <v>-0.87</v>
      </c>
      <c r="AE103">
        <v>1</v>
      </c>
      <c r="AF103">
        <f t="shared" si="36"/>
        <v>-1.06</v>
      </c>
      <c r="AG103">
        <v>0</v>
      </c>
      <c r="AH103" t="str">
        <f t="shared" si="37"/>
        <v>No</v>
      </c>
    </row>
    <row r="104" spans="1:34">
      <c r="A104">
        <v>103</v>
      </c>
      <c r="B104">
        <v>57</v>
      </c>
      <c r="C104" t="str">
        <f t="shared" si="19"/>
        <v>57-66</v>
      </c>
      <c r="D104">
        <f t="shared" si="20"/>
        <v>0.64</v>
      </c>
      <c r="E104">
        <v>0</v>
      </c>
      <c r="F104">
        <f t="shared" si="21"/>
        <v>-0.89</v>
      </c>
      <c r="G104">
        <v>3</v>
      </c>
      <c r="H104">
        <f t="shared" si="22"/>
        <v>1.1599999999999999</v>
      </c>
      <c r="I104">
        <v>128</v>
      </c>
      <c r="J104" s="2" t="str">
        <f t="shared" si="23"/>
        <v>121-150</v>
      </c>
      <c r="K104" s="2">
        <f t="shared" si="24"/>
        <v>0.04</v>
      </c>
      <c r="L104">
        <v>303</v>
      </c>
      <c r="M104" t="str">
        <f t="shared" si="25"/>
        <v>351-400</v>
      </c>
      <c r="N104">
        <f t="shared" si="26"/>
        <v>0.17</v>
      </c>
      <c r="O104">
        <v>0</v>
      </c>
      <c r="P104">
        <f t="shared" si="27"/>
        <v>-0.02</v>
      </c>
      <c r="Q104">
        <v>2</v>
      </c>
      <c r="R104">
        <f t="shared" si="28"/>
        <v>0.33</v>
      </c>
      <c r="S104">
        <v>159</v>
      </c>
      <c r="T104" t="str">
        <f t="shared" si="29"/>
        <v>131-160</v>
      </c>
      <c r="U104">
        <f t="shared" si="30"/>
        <v>0.2</v>
      </c>
      <c r="V104">
        <v>0</v>
      </c>
      <c r="W104">
        <f t="shared" si="31"/>
        <v>-0.64</v>
      </c>
      <c r="X104">
        <v>0</v>
      </c>
      <c r="Y104" t="str">
        <f t="shared" si="32"/>
        <v>0.1-1.5</v>
      </c>
      <c r="Z104">
        <f t="shared" si="33"/>
        <v>-0.48</v>
      </c>
      <c r="AA104">
        <v>0</v>
      </c>
      <c r="AB104">
        <f t="shared" si="34"/>
        <v>-0.91</v>
      </c>
      <c r="AC104">
        <v>1</v>
      </c>
      <c r="AD104">
        <f t="shared" si="35"/>
        <v>0.91</v>
      </c>
      <c r="AE104">
        <v>1</v>
      </c>
      <c r="AF104">
        <f t="shared" si="36"/>
        <v>-1.06</v>
      </c>
      <c r="AG104">
        <v>0</v>
      </c>
      <c r="AH104" t="str">
        <f t="shared" si="37"/>
        <v>No</v>
      </c>
    </row>
    <row r="105" spans="1:34">
      <c r="A105">
        <v>104</v>
      </c>
      <c r="B105">
        <v>71</v>
      </c>
      <c r="C105" t="str">
        <f t="shared" si="19"/>
        <v>66+</v>
      </c>
      <c r="D105">
        <f t="shared" si="20"/>
        <v>0.17</v>
      </c>
      <c r="E105">
        <v>0</v>
      </c>
      <c r="F105">
        <f t="shared" si="21"/>
        <v>-0.89</v>
      </c>
      <c r="G105">
        <v>2</v>
      </c>
      <c r="H105">
        <f t="shared" si="22"/>
        <v>-1.1599999999999999</v>
      </c>
      <c r="I105">
        <v>110</v>
      </c>
      <c r="J105" s="2" t="str">
        <f t="shared" si="23"/>
        <v>94-120</v>
      </c>
      <c r="K105" s="2">
        <f t="shared" si="24"/>
        <v>-0.32</v>
      </c>
      <c r="L105">
        <v>265</v>
      </c>
      <c r="M105" t="str">
        <f t="shared" si="25"/>
        <v>251-300</v>
      </c>
      <c r="N105">
        <f t="shared" si="26"/>
        <v>0.48</v>
      </c>
      <c r="O105">
        <v>1</v>
      </c>
      <c r="P105">
        <f t="shared" si="27"/>
        <v>0.12</v>
      </c>
      <c r="Q105">
        <v>2</v>
      </c>
      <c r="R105">
        <f t="shared" si="28"/>
        <v>0.33</v>
      </c>
      <c r="S105">
        <v>130</v>
      </c>
      <c r="T105" t="str">
        <f t="shared" si="29"/>
        <v>101-130</v>
      </c>
      <c r="U105">
        <f t="shared" si="30"/>
        <v>1.1499999999999999</v>
      </c>
      <c r="V105">
        <v>0</v>
      </c>
      <c r="W105">
        <f t="shared" si="31"/>
        <v>-0.64</v>
      </c>
      <c r="X105">
        <v>0</v>
      </c>
      <c r="Y105" t="str">
        <f t="shared" si="32"/>
        <v>0.1-1.5</v>
      </c>
      <c r="Z105">
        <f t="shared" si="33"/>
        <v>-0.48</v>
      </c>
      <c r="AA105">
        <v>0</v>
      </c>
      <c r="AB105">
        <f t="shared" si="34"/>
        <v>-0.91</v>
      </c>
      <c r="AC105">
        <v>1</v>
      </c>
      <c r="AD105">
        <f t="shared" si="35"/>
        <v>0.91</v>
      </c>
      <c r="AE105">
        <v>1</v>
      </c>
      <c r="AF105">
        <f t="shared" si="36"/>
        <v>-1.06</v>
      </c>
      <c r="AG105">
        <v>0</v>
      </c>
      <c r="AH105" t="str">
        <f t="shared" si="37"/>
        <v>No</v>
      </c>
    </row>
    <row r="106" spans="1:34">
      <c r="A106">
        <v>105</v>
      </c>
      <c r="B106">
        <v>49</v>
      </c>
      <c r="C106" t="str">
        <f t="shared" si="19"/>
        <v>47-56</v>
      </c>
      <c r="D106">
        <f t="shared" si="20"/>
        <v>-0.28000000000000003</v>
      </c>
      <c r="E106">
        <v>1</v>
      </c>
      <c r="F106">
        <f t="shared" si="21"/>
        <v>0.38</v>
      </c>
      <c r="G106">
        <v>2</v>
      </c>
      <c r="H106">
        <f t="shared" si="22"/>
        <v>-1.1599999999999999</v>
      </c>
      <c r="I106">
        <v>120</v>
      </c>
      <c r="J106" s="2" t="str">
        <f t="shared" si="23"/>
        <v>94-120</v>
      </c>
      <c r="K106" s="2">
        <f t="shared" si="24"/>
        <v>-0.32</v>
      </c>
      <c r="L106">
        <v>188</v>
      </c>
      <c r="M106" t="str">
        <f t="shared" si="25"/>
        <v>126-200</v>
      </c>
      <c r="N106">
        <f t="shared" si="26"/>
        <v>-0.16</v>
      </c>
      <c r="O106">
        <v>0</v>
      </c>
      <c r="P106">
        <f t="shared" si="27"/>
        <v>-0.02</v>
      </c>
      <c r="Q106">
        <v>0</v>
      </c>
      <c r="R106">
        <f t="shared" si="28"/>
        <v>-0.36</v>
      </c>
      <c r="S106">
        <v>139</v>
      </c>
      <c r="T106" t="str">
        <f t="shared" si="29"/>
        <v>131-160</v>
      </c>
      <c r="U106">
        <f t="shared" si="30"/>
        <v>0.2</v>
      </c>
      <c r="V106">
        <v>0</v>
      </c>
      <c r="W106">
        <f t="shared" si="31"/>
        <v>-0.64</v>
      </c>
      <c r="X106">
        <v>2</v>
      </c>
      <c r="Y106" t="str">
        <f t="shared" si="32"/>
        <v>1.6-2.8</v>
      </c>
      <c r="Z106">
        <f t="shared" si="33"/>
        <v>0.99</v>
      </c>
      <c r="AA106">
        <v>1</v>
      </c>
      <c r="AB106">
        <f t="shared" si="34"/>
        <v>0.78</v>
      </c>
      <c r="AC106">
        <v>3</v>
      </c>
      <c r="AD106">
        <f t="shared" si="35"/>
        <v>1.9</v>
      </c>
      <c r="AE106">
        <v>3</v>
      </c>
      <c r="AF106">
        <f t="shared" si="36"/>
        <v>1.32</v>
      </c>
      <c r="AG106">
        <v>1</v>
      </c>
      <c r="AH106" t="str">
        <f t="shared" si="37"/>
        <v>Yes</v>
      </c>
    </row>
    <row r="107" spans="1:34">
      <c r="A107">
        <v>106</v>
      </c>
      <c r="B107">
        <v>54</v>
      </c>
      <c r="C107" t="str">
        <f t="shared" si="19"/>
        <v>47-56</v>
      </c>
      <c r="D107">
        <f t="shared" si="20"/>
        <v>-0.28000000000000003</v>
      </c>
      <c r="E107">
        <v>1</v>
      </c>
      <c r="F107">
        <f t="shared" si="21"/>
        <v>0.38</v>
      </c>
      <c r="G107">
        <v>1</v>
      </c>
      <c r="H107">
        <f t="shared" si="22"/>
        <v>-1.35</v>
      </c>
      <c r="I107">
        <v>108</v>
      </c>
      <c r="J107" s="2" t="str">
        <f t="shared" si="23"/>
        <v>94-120</v>
      </c>
      <c r="K107" s="2">
        <f t="shared" si="24"/>
        <v>-0.32</v>
      </c>
      <c r="L107">
        <v>309</v>
      </c>
      <c r="M107" t="str">
        <f t="shared" si="25"/>
        <v>351-400</v>
      </c>
      <c r="N107">
        <f t="shared" si="26"/>
        <v>0.17</v>
      </c>
      <c r="O107">
        <v>0</v>
      </c>
      <c r="P107">
        <f t="shared" si="27"/>
        <v>-0.02</v>
      </c>
      <c r="Q107">
        <v>0</v>
      </c>
      <c r="R107">
        <f t="shared" si="28"/>
        <v>-0.36</v>
      </c>
      <c r="S107">
        <v>156</v>
      </c>
      <c r="T107" t="str">
        <f t="shared" si="29"/>
        <v>131-160</v>
      </c>
      <c r="U107">
        <f t="shared" si="30"/>
        <v>0.2</v>
      </c>
      <c r="V107">
        <v>0</v>
      </c>
      <c r="W107">
        <f t="shared" si="31"/>
        <v>-0.64</v>
      </c>
      <c r="X107">
        <v>0</v>
      </c>
      <c r="Y107" t="str">
        <f t="shared" si="32"/>
        <v>0.1-1.5</v>
      </c>
      <c r="Z107">
        <f t="shared" si="33"/>
        <v>-0.48</v>
      </c>
      <c r="AA107">
        <v>0</v>
      </c>
      <c r="AB107">
        <f t="shared" si="34"/>
        <v>-0.91</v>
      </c>
      <c r="AC107">
        <v>0</v>
      </c>
      <c r="AD107">
        <f t="shared" si="35"/>
        <v>-0.87</v>
      </c>
      <c r="AE107">
        <v>3</v>
      </c>
      <c r="AF107">
        <f t="shared" si="36"/>
        <v>1.32</v>
      </c>
      <c r="AG107">
        <v>0</v>
      </c>
      <c r="AH107" t="str">
        <f t="shared" si="37"/>
        <v>No</v>
      </c>
    </row>
    <row r="108" spans="1:34">
      <c r="A108">
        <v>107</v>
      </c>
      <c r="B108">
        <v>59</v>
      </c>
      <c r="C108" t="str">
        <f t="shared" si="19"/>
        <v>57-66</v>
      </c>
      <c r="D108">
        <f t="shared" si="20"/>
        <v>0.64</v>
      </c>
      <c r="E108">
        <v>1</v>
      </c>
      <c r="F108">
        <f t="shared" si="21"/>
        <v>0.38</v>
      </c>
      <c r="G108">
        <v>3</v>
      </c>
      <c r="H108">
        <f t="shared" si="22"/>
        <v>1.1599999999999999</v>
      </c>
      <c r="I108">
        <v>140</v>
      </c>
      <c r="J108" s="2" t="str">
        <f t="shared" si="23"/>
        <v>121-150</v>
      </c>
      <c r="K108" s="2">
        <f t="shared" si="24"/>
        <v>0.04</v>
      </c>
      <c r="L108">
        <v>177</v>
      </c>
      <c r="M108" t="str">
        <f t="shared" si="25"/>
        <v>126-200</v>
      </c>
      <c r="N108">
        <f t="shared" si="26"/>
        <v>-0.16</v>
      </c>
      <c r="O108">
        <v>0</v>
      </c>
      <c r="P108">
        <f t="shared" si="27"/>
        <v>-0.02</v>
      </c>
      <c r="Q108">
        <v>0</v>
      </c>
      <c r="R108">
        <f t="shared" si="28"/>
        <v>-0.36</v>
      </c>
      <c r="S108">
        <v>162</v>
      </c>
      <c r="T108" t="str">
        <f t="shared" si="29"/>
        <v>161-190</v>
      </c>
      <c r="U108">
        <f t="shared" si="30"/>
        <v>-1.01</v>
      </c>
      <c r="V108">
        <v>1</v>
      </c>
      <c r="W108">
        <f t="shared" si="31"/>
        <v>1.36</v>
      </c>
      <c r="X108">
        <v>0</v>
      </c>
      <c r="Y108" t="str">
        <f t="shared" si="32"/>
        <v>0.1-1.5</v>
      </c>
      <c r="Z108">
        <f t="shared" si="33"/>
        <v>-0.48</v>
      </c>
      <c r="AA108">
        <v>0</v>
      </c>
      <c r="AB108">
        <f t="shared" si="34"/>
        <v>-0.91</v>
      </c>
      <c r="AC108">
        <v>1</v>
      </c>
      <c r="AD108">
        <f t="shared" si="35"/>
        <v>0.91</v>
      </c>
      <c r="AE108">
        <v>3</v>
      </c>
      <c r="AF108">
        <f t="shared" si="36"/>
        <v>1.32</v>
      </c>
      <c r="AG108">
        <v>1</v>
      </c>
      <c r="AH108" t="str">
        <f t="shared" si="37"/>
        <v>Yes</v>
      </c>
    </row>
    <row r="109" spans="1:34">
      <c r="A109">
        <v>108</v>
      </c>
      <c r="B109">
        <v>57</v>
      </c>
      <c r="C109" t="str">
        <f t="shared" si="19"/>
        <v>57-66</v>
      </c>
      <c r="D109">
        <f t="shared" si="20"/>
        <v>0.64</v>
      </c>
      <c r="E109">
        <v>1</v>
      </c>
      <c r="F109">
        <f t="shared" si="21"/>
        <v>0.38</v>
      </c>
      <c r="G109">
        <v>2</v>
      </c>
      <c r="H109">
        <f t="shared" si="22"/>
        <v>-1.1599999999999999</v>
      </c>
      <c r="I109">
        <v>128</v>
      </c>
      <c r="J109" s="2" t="str">
        <f t="shared" si="23"/>
        <v>121-150</v>
      </c>
      <c r="K109" s="2">
        <f t="shared" si="24"/>
        <v>0.04</v>
      </c>
      <c r="L109">
        <v>229</v>
      </c>
      <c r="M109" t="str">
        <f t="shared" si="25"/>
        <v>201-250</v>
      </c>
      <c r="N109">
        <f t="shared" si="26"/>
        <v>0.17</v>
      </c>
      <c r="O109">
        <v>0</v>
      </c>
      <c r="P109">
        <f t="shared" si="27"/>
        <v>-0.02</v>
      </c>
      <c r="Q109">
        <v>2</v>
      </c>
      <c r="R109">
        <f t="shared" si="28"/>
        <v>0.33</v>
      </c>
      <c r="S109">
        <v>150</v>
      </c>
      <c r="T109" t="str">
        <f t="shared" si="29"/>
        <v>131-160</v>
      </c>
      <c r="U109">
        <f t="shared" si="30"/>
        <v>0.2</v>
      </c>
      <c r="V109">
        <v>0</v>
      </c>
      <c r="W109">
        <f t="shared" si="31"/>
        <v>-0.64</v>
      </c>
      <c r="X109">
        <v>0.4</v>
      </c>
      <c r="Y109" t="str">
        <f t="shared" si="32"/>
        <v>0.1-1.5</v>
      </c>
      <c r="Z109">
        <f t="shared" si="33"/>
        <v>-0.48</v>
      </c>
      <c r="AA109">
        <v>1</v>
      </c>
      <c r="AB109">
        <f t="shared" si="34"/>
        <v>0.78</v>
      </c>
      <c r="AC109">
        <v>1</v>
      </c>
      <c r="AD109">
        <f t="shared" si="35"/>
        <v>0.91</v>
      </c>
      <c r="AE109">
        <v>3</v>
      </c>
      <c r="AF109">
        <f t="shared" si="36"/>
        <v>1.32</v>
      </c>
      <c r="AG109">
        <v>1</v>
      </c>
      <c r="AH109" t="str">
        <f t="shared" si="37"/>
        <v>Yes</v>
      </c>
    </row>
    <row r="110" spans="1:34">
      <c r="A110">
        <v>109</v>
      </c>
      <c r="B110">
        <v>61</v>
      </c>
      <c r="C110" t="str">
        <f t="shared" si="19"/>
        <v>57-66</v>
      </c>
      <c r="D110">
        <f t="shared" si="20"/>
        <v>0.64</v>
      </c>
      <c r="E110">
        <v>1</v>
      </c>
      <c r="F110">
        <f t="shared" si="21"/>
        <v>0.38</v>
      </c>
      <c r="G110">
        <v>3</v>
      </c>
      <c r="H110">
        <f t="shared" si="22"/>
        <v>1.1599999999999999</v>
      </c>
      <c r="I110">
        <v>120</v>
      </c>
      <c r="J110" s="2" t="str">
        <f t="shared" si="23"/>
        <v>94-120</v>
      </c>
      <c r="K110" s="2">
        <f t="shared" si="24"/>
        <v>-0.32</v>
      </c>
      <c r="L110">
        <v>260</v>
      </c>
      <c r="M110" t="str">
        <f t="shared" si="25"/>
        <v>251-300</v>
      </c>
      <c r="N110">
        <f t="shared" si="26"/>
        <v>0.48</v>
      </c>
      <c r="O110">
        <v>0</v>
      </c>
      <c r="P110">
        <f t="shared" si="27"/>
        <v>-0.02</v>
      </c>
      <c r="Q110">
        <v>0</v>
      </c>
      <c r="R110">
        <f t="shared" si="28"/>
        <v>-0.36</v>
      </c>
      <c r="S110">
        <v>140</v>
      </c>
      <c r="T110" t="str">
        <f t="shared" si="29"/>
        <v>131-160</v>
      </c>
      <c r="U110">
        <f t="shared" si="30"/>
        <v>0.2</v>
      </c>
      <c r="V110">
        <v>1</v>
      </c>
      <c r="W110">
        <f t="shared" si="31"/>
        <v>1.36</v>
      </c>
      <c r="X110">
        <v>3.6</v>
      </c>
      <c r="Y110" t="str">
        <f t="shared" si="32"/>
        <v>2.9-4</v>
      </c>
      <c r="Z110">
        <f t="shared" si="33"/>
        <v>2.42</v>
      </c>
      <c r="AA110">
        <v>1</v>
      </c>
      <c r="AB110">
        <f t="shared" si="34"/>
        <v>0.78</v>
      </c>
      <c r="AC110">
        <v>1</v>
      </c>
      <c r="AD110">
        <f t="shared" si="35"/>
        <v>0.91</v>
      </c>
      <c r="AE110">
        <v>3</v>
      </c>
      <c r="AF110">
        <f t="shared" si="36"/>
        <v>1.32</v>
      </c>
      <c r="AG110">
        <v>1</v>
      </c>
      <c r="AH110" t="str">
        <f t="shared" si="37"/>
        <v>Yes</v>
      </c>
    </row>
    <row r="111" spans="1:34">
      <c r="A111">
        <v>110</v>
      </c>
      <c r="B111">
        <v>39</v>
      </c>
      <c r="C111" t="str">
        <f t="shared" si="19"/>
        <v>37-46</v>
      </c>
      <c r="D111">
        <f t="shared" si="20"/>
        <v>-0.83</v>
      </c>
      <c r="E111">
        <v>1</v>
      </c>
      <c r="F111">
        <f t="shared" si="21"/>
        <v>0.38</v>
      </c>
      <c r="G111">
        <v>3</v>
      </c>
      <c r="H111">
        <f t="shared" si="22"/>
        <v>1.1599999999999999</v>
      </c>
      <c r="I111">
        <v>118</v>
      </c>
      <c r="J111" s="2" t="str">
        <f t="shared" si="23"/>
        <v>94-120</v>
      </c>
      <c r="K111" s="2">
        <f t="shared" si="24"/>
        <v>-0.32</v>
      </c>
      <c r="L111">
        <v>219</v>
      </c>
      <c r="M111" t="str">
        <f t="shared" si="25"/>
        <v>201-250</v>
      </c>
      <c r="N111">
        <f t="shared" si="26"/>
        <v>0.17</v>
      </c>
      <c r="O111">
        <v>0</v>
      </c>
      <c r="P111">
        <f t="shared" si="27"/>
        <v>-0.02</v>
      </c>
      <c r="Q111">
        <v>0</v>
      </c>
      <c r="R111">
        <f t="shared" si="28"/>
        <v>-0.36</v>
      </c>
      <c r="S111">
        <v>140</v>
      </c>
      <c r="T111" t="str">
        <f t="shared" si="29"/>
        <v>131-160</v>
      </c>
      <c r="U111">
        <f t="shared" si="30"/>
        <v>0.2</v>
      </c>
      <c r="V111">
        <v>0</v>
      </c>
      <c r="W111">
        <f t="shared" si="31"/>
        <v>-0.64</v>
      </c>
      <c r="X111">
        <v>1.2</v>
      </c>
      <c r="Y111" t="str">
        <f t="shared" si="32"/>
        <v>0.1-1.5</v>
      </c>
      <c r="Z111">
        <f t="shared" si="33"/>
        <v>-0.48</v>
      </c>
      <c r="AA111">
        <v>1</v>
      </c>
      <c r="AB111">
        <f t="shared" si="34"/>
        <v>0.78</v>
      </c>
      <c r="AC111">
        <v>0</v>
      </c>
      <c r="AD111">
        <f t="shared" si="35"/>
        <v>-0.87</v>
      </c>
      <c r="AE111">
        <v>3</v>
      </c>
      <c r="AF111">
        <f t="shared" si="36"/>
        <v>1.32</v>
      </c>
      <c r="AG111">
        <v>1</v>
      </c>
      <c r="AH111" t="str">
        <f t="shared" si="37"/>
        <v>Yes</v>
      </c>
    </row>
    <row r="112" spans="1:34">
      <c r="A112">
        <v>111</v>
      </c>
      <c r="B112">
        <v>61</v>
      </c>
      <c r="C112" t="str">
        <f t="shared" si="19"/>
        <v>57-66</v>
      </c>
      <c r="D112">
        <f t="shared" si="20"/>
        <v>0.64</v>
      </c>
      <c r="E112">
        <v>0</v>
      </c>
      <c r="F112">
        <f t="shared" si="21"/>
        <v>-0.89</v>
      </c>
      <c r="G112">
        <v>3</v>
      </c>
      <c r="H112">
        <f t="shared" si="22"/>
        <v>1.1599999999999999</v>
      </c>
      <c r="I112">
        <v>145</v>
      </c>
      <c r="J112" s="2" t="str">
        <f t="shared" si="23"/>
        <v>121-150</v>
      </c>
      <c r="K112" s="2">
        <f t="shared" si="24"/>
        <v>0.04</v>
      </c>
      <c r="L112">
        <v>307</v>
      </c>
      <c r="M112" t="str">
        <f t="shared" si="25"/>
        <v>351-400</v>
      </c>
      <c r="N112">
        <f t="shared" si="26"/>
        <v>0.17</v>
      </c>
      <c r="O112">
        <v>0</v>
      </c>
      <c r="P112">
        <f t="shared" si="27"/>
        <v>-0.02</v>
      </c>
      <c r="Q112">
        <v>2</v>
      </c>
      <c r="R112">
        <f t="shared" si="28"/>
        <v>0.33</v>
      </c>
      <c r="S112">
        <v>146</v>
      </c>
      <c r="T112" t="str">
        <f t="shared" si="29"/>
        <v>131-160</v>
      </c>
      <c r="U112">
        <f t="shared" si="30"/>
        <v>0.2</v>
      </c>
      <c r="V112">
        <v>1</v>
      </c>
      <c r="W112">
        <f t="shared" si="31"/>
        <v>1.36</v>
      </c>
      <c r="X112">
        <v>1</v>
      </c>
      <c r="Y112" t="str">
        <f t="shared" si="32"/>
        <v>0.1-1.5</v>
      </c>
      <c r="Z112">
        <f t="shared" si="33"/>
        <v>-0.48</v>
      </c>
      <c r="AA112">
        <v>1</v>
      </c>
      <c r="AB112">
        <f t="shared" si="34"/>
        <v>0.78</v>
      </c>
      <c r="AC112">
        <v>0</v>
      </c>
      <c r="AD112">
        <f t="shared" si="35"/>
        <v>-0.87</v>
      </c>
      <c r="AE112">
        <v>3</v>
      </c>
      <c r="AF112">
        <f t="shared" si="36"/>
        <v>1.32</v>
      </c>
      <c r="AG112">
        <v>1</v>
      </c>
      <c r="AH112" t="str">
        <f t="shared" si="37"/>
        <v>Yes</v>
      </c>
    </row>
    <row r="113" spans="1:34">
      <c r="A113">
        <v>112</v>
      </c>
      <c r="B113">
        <v>56</v>
      </c>
      <c r="C113" t="str">
        <f t="shared" si="19"/>
        <v>47-56</v>
      </c>
      <c r="D113">
        <f t="shared" si="20"/>
        <v>-0.28000000000000003</v>
      </c>
      <c r="E113">
        <v>1</v>
      </c>
      <c r="F113">
        <f t="shared" si="21"/>
        <v>0.38</v>
      </c>
      <c r="G113">
        <v>3</v>
      </c>
      <c r="H113">
        <f t="shared" si="22"/>
        <v>1.1599999999999999</v>
      </c>
      <c r="I113">
        <v>125</v>
      </c>
      <c r="J113" s="2" t="str">
        <f t="shared" si="23"/>
        <v>121-150</v>
      </c>
      <c r="K113" s="2">
        <f t="shared" si="24"/>
        <v>0.04</v>
      </c>
      <c r="L113">
        <v>249</v>
      </c>
      <c r="M113" t="str">
        <f t="shared" si="25"/>
        <v>201-250</v>
      </c>
      <c r="N113">
        <f t="shared" si="26"/>
        <v>0.17</v>
      </c>
      <c r="O113">
        <v>1</v>
      </c>
      <c r="P113">
        <f t="shared" si="27"/>
        <v>0.12</v>
      </c>
      <c r="Q113">
        <v>2</v>
      </c>
      <c r="R113">
        <f t="shared" si="28"/>
        <v>0.33</v>
      </c>
      <c r="S113">
        <v>144</v>
      </c>
      <c r="T113" t="str">
        <f t="shared" si="29"/>
        <v>131-160</v>
      </c>
      <c r="U113">
        <f t="shared" si="30"/>
        <v>0.2</v>
      </c>
      <c r="V113">
        <v>1</v>
      </c>
      <c r="W113">
        <f t="shared" si="31"/>
        <v>1.36</v>
      </c>
      <c r="X113">
        <v>1.2</v>
      </c>
      <c r="Y113" t="str">
        <f t="shared" si="32"/>
        <v>0.1-1.5</v>
      </c>
      <c r="Z113">
        <f t="shared" si="33"/>
        <v>-0.48</v>
      </c>
      <c r="AA113">
        <v>1</v>
      </c>
      <c r="AB113">
        <f t="shared" si="34"/>
        <v>0.78</v>
      </c>
      <c r="AC113">
        <v>1</v>
      </c>
      <c r="AD113">
        <f t="shared" si="35"/>
        <v>0.91</v>
      </c>
      <c r="AE113">
        <v>1</v>
      </c>
      <c r="AF113">
        <f t="shared" si="36"/>
        <v>-1.06</v>
      </c>
      <c r="AG113">
        <v>1</v>
      </c>
      <c r="AH113" t="str">
        <f t="shared" si="37"/>
        <v>Yes</v>
      </c>
    </row>
    <row r="114" spans="1:34">
      <c r="A114">
        <v>113</v>
      </c>
      <c r="B114">
        <v>52</v>
      </c>
      <c r="C114" t="str">
        <f t="shared" si="19"/>
        <v>47-56</v>
      </c>
      <c r="D114">
        <f t="shared" si="20"/>
        <v>-0.28000000000000003</v>
      </c>
      <c r="E114">
        <v>1</v>
      </c>
      <c r="F114">
        <f t="shared" si="21"/>
        <v>0.38</v>
      </c>
      <c r="G114">
        <v>0</v>
      </c>
      <c r="H114">
        <f t="shared" si="22"/>
        <v>-0.66</v>
      </c>
      <c r="I114">
        <v>118</v>
      </c>
      <c r="J114" s="2" t="str">
        <f t="shared" si="23"/>
        <v>94-120</v>
      </c>
      <c r="K114" s="2">
        <f t="shared" si="24"/>
        <v>-0.32</v>
      </c>
      <c r="L114">
        <v>186</v>
      </c>
      <c r="M114" t="str">
        <f t="shared" si="25"/>
        <v>126-200</v>
      </c>
      <c r="N114">
        <f t="shared" si="26"/>
        <v>-0.16</v>
      </c>
      <c r="O114">
        <v>0</v>
      </c>
      <c r="P114">
        <f t="shared" si="27"/>
        <v>-0.02</v>
      </c>
      <c r="Q114">
        <v>2</v>
      </c>
      <c r="R114">
        <f t="shared" si="28"/>
        <v>0.33</v>
      </c>
      <c r="S114">
        <v>190</v>
      </c>
      <c r="T114" t="str">
        <f t="shared" si="29"/>
        <v>161-190</v>
      </c>
      <c r="U114">
        <f t="shared" si="30"/>
        <v>-1.01</v>
      </c>
      <c r="V114">
        <v>0</v>
      </c>
      <c r="W114">
        <f t="shared" si="31"/>
        <v>-0.64</v>
      </c>
      <c r="X114">
        <v>0</v>
      </c>
      <c r="Y114" t="str">
        <f t="shared" si="32"/>
        <v>0.1-1.5</v>
      </c>
      <c r="Z114">
        <f t="shared" si="33"/>
        <v>-0.48</v>
      </c>
      <c r="AA114">
        <v>1</v>
      </c>
      <c r="AB114">
        <f t="shared" si="34"/>
        <v>0.78</v>
      </c>
      <c r="AC114">
        <v>0</v>
      </c>
      <c r="AD114">
        <f t="shared" si="35"/>
        <v>-0.87</v>
      </c>
      <c r="AE114">
        <v>2</v>
      </c>
      <c r="AF114">
        <f t="shared" si="36"/>
        <v>0.86</v>
      </c>
      <c r="AG114">
        <v>0</v>
      </c>
      <c r="AH114" t="str">
        <f t="shared" si="37"/>
        <v>No</v>
      </c>
    </row>
    <row r="115" spans="1:34">
      <c r="A115">
        <v>114</v>
      </c>
      <c r="B115">
        <v>43</v>
      </c>
      <c r="C115" t="str">
        <f t="shared" si="19"/>
        <v>37-46</v>
      </c>
      <c r="D115">
        <f t="shared" si="20"/>
        <v>-0.83</v>
      </c>
      <c r="E115">
        <v>0</v>
      </c>
      <c r="F115">
        <f t="shared" si="21"/>
        <v>-0.89</v>
      </c>
      <c r="G115">
        <v>3</v>
      </c>
      <c r="H115">
        <f t="shared" si="22"/>
        <v>1.1599999999999999</v>
      </c>
      <c r="I115">
        <v>132</v>
      </c>
      <c r="J115" s="2" t="str">
        <f t="shared" si="23"/>
        <v>121-150</v>
      </c>
      <c r="K115" s="2">
        <f t="shared" si="24"/>
        <v>0.04</v>
      </c>
      <c r="L115">
        <v>341</v>
      </c>
      <c r="M115" t="str">
        <f t="shared" si="25"/>
        <v>351-400</v>
      </c>
      <c r="N115">
        <f t="shared" si="26"/>
        <v>0.17</v>
      </c>
      <c r="O115">
        <v>1</v>
      </c>
      <c r="P115">
        <f t="shared" si="27"/>
        <v>0.12</v>
      </c>
      <c r="Q115">
        <v>2</v>
      </c>
      <c r="R115">
        <f t="shared" si="28"/>
        <v>0.33</v>
      </c>
      <c r="S115">
        <v>136</v>
      </c>
      <c r="T115" t="str">
        <f t="shared" si="29"/>
        <v>131-160</v>
      </c>
      <c r="U115">
        <f t="shared" si="30"/>
        <v>0.2</v>
      </c>
      <c r="V115">
        <v>1</v>
      </c>
      <c r="W115">
        <f t="shared" si="31"/>
        <v>1.36</v>
      </c>
      <c r="X115">
        <v>3</v>
      </c>
      <c r="Y115" t="str">
        <f t="shared" si="32"/>
        <v>2.9-4</v>
      </c>
      <c r="Z115">
        <f t="shared" si="33"/>
        <v>2.42</v>
      </c>
      <c r="AA115">
        <v>1</v>
      </c>
      <c r="AB115">
        <f t="shared" si="34"/>
        <v>0.78</v>
      </c>
      <c r="AC115">
        <v>0</v>
      </c>
      <c r="AD115">
        <f t="shared" si="35"/>
        <v>-0.87</v>
      </c>
      <c r="AE115">
        <v>3</v>
      </c>
      <c r="AF115">
        <f t="shared" si="36"/>
        <v>1.32</v>
      </c>
      <c r="AG115">
        <v>1</v>
      </c>
      <c r="AH115" t="str">
        <f t="shared" si="37"/>
        <v>Yes</v>
      </c>
    </row>
    <row r="116" spans="1:34">
      <c r="A116">
        <v>115</v>
      </c>
      <c r="B116">
        <v>62</v>
      </c>
      <c r="C116" t="str">
        <f t="shared" si="19"/>
        <v>57-66</v>
      </c>
      <c r="D116">
        <f t="shared" si="20"/>
        <v>0.64</v>
      </c>
      <c r="E116">
        <v>0</v>
      </c>
      <c r="F116">
        <f t="shared" si="21"/>
        <v>-0.89</v>
      </c>
      <c r="G116">
        <v>2</v>
      </c>
      <c r="H116">
        <f t="shared" si="22"/>
        <v>-1.1599999999999999</v>
      </c>
      <c r="I116">
        <v>130</v>
      </c>
      <c r="J116" s="2" t="str">
        <f t="shared" si="23"/>
        <v>121-150</v>
      </c>
      <c r="K116" s="2">
        <f t="shared" si="24"/>
        <v>0.04</v>
      </c>
      <c r="L116">
        <v>263</v>
      </c>
      <c r="M116" t="str">
        <f t="shared" si="25"/>
        <v>251-300</v>
      </c>
      <c r="N116">
        <f t="shared" si="26"/>
        <v>0.48</v>
      </c>
      <c r="O116">
        <v>0</v>
      </c>
      <c r="P116">
        <f t="shared" si="27"/>
        <v>-0.02</v>
      </c>
      <c r="Q116">
        <v>0</v>
      </c>
      <c r="R116">
        <f t="shared" si="28"/>
        <v>-0.36</v>
      </c>
      <c r="S116">
        <v>97</v>
      </c>
      <c r="T116" t="str">
        <f t="shared" si="29"/>
        <v>71-100</v>
      </c>
      <c r="U116">
        <f t="shared" si="30"/>
        <v>2.11</v>
      </c>
      <c r="V116">
        <v>0</v>
      </c>
      <c r="W116">
        <f t="shared" si="31"/>
        <v>-0.64</v>
      </c>
      <c r="X116">
        <v>1.2</v>
      </c>
      <c r="Y116" t="str">
        <f t="shared" si="32"/>
        <v>0.1-1.5</v>
      </c>
      <c r="Z116">
        <f t="shared" si="33"/>
        <v>-0.48</v>
      </c>
      <c r="AA116">
        <v>1</v>
      </c>
      <c r="AB116">
        <f t="shared" si="34"/>
        <v>0.78</v>
      </c>
      <c r="AC116">
        <v>1</v>
      </c>
      <c r="AD116">
        <f t="shared" si="35"/>
        <v>0.91</v>
      </c>
      <c r="AE116">
        <v>3</v>
      </c>
      <c r="AF116">
        <f t="shared" si="36"/>
        <v>1.32</v>
      </c>
      <c r="AG116">
        <v>1</v>
      </c>
      <c r="AH116" t="str">
        <f t="shared" si="37"/>
        <v>Yes</v>
      </c>
    </row>
    <row r="117" spans="1:34">
      <c r="A117">
        <v>116</v>
      </c>
      <c r="B117">
        <v>41</v>
      </c>
      <c r="C117" t="str">
        <f t="shared" si="19"/>
        <v>37-46</v>
      </c>
      <c r="D117">
        <f t="shared" si="20"/>
        <v>-0.83</v>
      </c>
      <c r="E117">
        <v>1</v>
      </c>
      <c r="F117">
        <f t="shared" si="21"/>
        <v>0.38</v>
      </c>
      <c r="G117">
        <v>1</v>
      </c>
      <c r="H117">
        <f t="shared" si="22"/>
        <v>-1.35</v>
      </c>
      <c r="I117">
        <v>135</v>
      </c>
      <c r="J117" s="2" t="str">
        <f t="shared" si="23"/>
        <v>121-150</v>
      </c>
      <c r="K117" s="2">
        <f t="shared" si="24"/>
        <v>0.04</v>
      </c>
      <c r="L117">
        <v>203</v>
      </c>
      <c r="M117" t="str">
        <f t="shared" si="25"/>
        <v>201-250</v>
      </c>
      <c r="N117">
        <f t="shared" si="26"/>
        <v>0.17</v>
      </c>
      <c r="O117">
        <v>0</v>
      </c>
      <c r="P117">
        <f t="shared" si="27"/>
        <v>-0.02</v>
      </c>
      <c r="Q117">
        <v>0</v>
      </c>
      <c r="R117">
        <f t="shared" si="28"/>
        <v>-0.36</v>
      </c>
      <c r="S117">
        <v>132</v>
      </c>
      <c r="T117" t="str">
        <f t="shared" si="29"/>
        <v>131-160</v>
      </c>
      <c r="U117">
        <f t="shared" si="30"/>
        <v>0.2</v>
      </c>
      <c r="V117">
        <v>0</v>
      </c>
      <c r="W117">
        <f t="shared" si="31"/>
        <v>-0.64</v>
      </c>
      <c r="X117">
        <v>0</v>
      </c>
      <c r="Y117" t="str">
        <f t="shared" si="32"/>
        <v>0.1-1.5</v>
      </c>
      <c r="Z117">
        <f t="shared" si="33"/>
        <v>-0.48</v>
      </c>
      <c r="AA117">
        <v>1</v>
      </c>
      <c r="AB117">
        <f t="shared" si="34"/>
        <v>0.78</v>
      </c>
      <c r="AC117">
        <v>0</v>
      </c>
      <c r="AD117">
        <f t="shared" si="35"/>
        <v>-0.87</v>
      </c>
      <c r="AE117">
        <v>2</v>
      </c>
      <c r="AF117">
        <f t="shared" si="36"/>
        <v>0.86</v>
      </c>
      <c r="AG117">
        <v>0</v>
      </c>
      <c r="AH117" t="str">
        <f t="shared" si="37"/>
        <v>No</v>
      </c>
    </row>
    <row r="118" spans="1:34">
      <c r="A118">
        <v>117</v>
      </c>
      <c r="B118">
        <v>58</v>
      </c>
      <c r="C118" t="str">
        <f t="shared" si="19"/>
        <v>57-66</v>
      </c>
      <c r="D118">
        <f t="shared" si="20"/>
        <v>0.64</v>
      </c>
      <c r="E118">
        <v>1</v>
      </c>
      <c r="F118">
        <f t="shared" si="21"/>
        <v>0.38</v>
      </c>
      <c r="G118">
        <v>2</v>
      </c>
      <c r="H118">
        <f t="shared" si="22"/>
        <v>-1.1599999999999999</v>
      </c>
      <c r="I118">
        <v>140</v>
      </c>
      <c r="J118" s="2" t="str">
        <f t="shared" si="23"/>
        <v>121-150</v>
      </c>
      <c r="K118" s="2">
        <f t="shared" si="24"/>
        <v>0.04</v>
      </c>
      <c r="L118">
        <v>211</v>
      </c>
      <c r="M118" t="str">
        <f t="shared" si="25"/>
        <v>201-250</v>
      </c>
      <c r="N118">
        <f t="shared" si="26"/>
        <v>0.17</v>
      </c>
      <c r="O118">
        <v>1</v>
      </c>
      <c r="P118">
        <f t="shared" si="27"/>
        <v>0.12</v>
      </c>
      <c r="Q118">
        <v>2</v>
      </c>
      <c r="R118">
        <f t="shared" si="28"/>
        <v>0.33</v>
      </c>
      <c r="S118">
        <v>165</v>
      </c>
      <c r="T118" t="str">
        <f t="shared" si="29"/>
        <v>161-190</v>
      </c>
      <c r="U118">
        <f t="shared" si="30"/>
        <v>-1.01</v>
      </c>
      <c r="V118">
        <v>0</v>
      </c>
      <c r="W118">
        <f t="shared" si="31"/>
        <v>-0.64</v>
      </c>
      <c r="X118">
        <v>0</v>
      </c>
      <c r="Y118" t="str">
        <f t="shared" si="32"/>
        <v>0.1-1.5</v>
      </c>
      <c r="Z118">
        <f t="shared" si="33"/>
        <v>-0.48</v>
      </c>
      <c r="AA118">
        <v>0</v>
      </c>
      <c r="AB118">
        <f t="shared" si="34"/>
        <v>-0.91</v>
      </c>
      <c r="AC118">
        <v>0</v>
      </c>
      <c r="AD118">
        <f t="shared" si="35"/>
        <v>-0.87</v>
      </c>
      <c r="AE118">
        <v>1</v>
      </c>
      <c r="AF118">
        <f t="shared" si="36"/>
        <v>-1.06</v>
      </c>
      <c r="AG118">
        <v>0</v>
      </c>
      <c r="AH118" t="str">
        <f t="shared" si="37"/>
        <v>No</v>
      </c>
    </row>
    <row r="119" spans="1:34">
      <c r="A119">
        <v>118</v>
      </c>
      <c r="B119">
        <v>35</v>
      </c>
      <c r="C119" t="str">
        <f t="shared" si="19"/>
        <v>27-36</v>
      </c>
      <c r="D119">
        <f t="shared" si="20"/>
        <v>-0.75</v>
      </c>
      <c r="E119">
        <v>0</v>
      </c>
      <c r="F119">
        <f t="shared" si="21"/>
        <v>-0.89</v>
      </c>
      <c r="G119">
        <v>3</v>
      </c>
      <c r="H119">
        <f t="shared" si="22"/>
        <v>1.1599999999999999</v>
      </c>
      <c r="I119">
        <v>138</v>
      </c>
      <c r="J119" s="2" t="str">
        <f t="shared" si="23"/>
        <v>121-150</v>
      </c>
      <c r="K119" s="2">
        <f t="shared" si="24"/>
        <v>0.04</v>
      </c>
      <c r="L119">
        <v>183</v>
      </c>
      <c r="M119" t="str">
        <f t="shared" si="25"/>
        <v>126-200</v>
      </c>
      <c r="N119">
        <f t="shared" si="26"/>
        <v>-0.16</v>
      </c>
      <c r="O119">
        <v>0</v>
      </c>
      <c r="P119">
        <f t="shared" si="27"/>
        <v>-0.02</v>
      </c>
      <c r="Q119">
        <v>0</v>
      </c>
      <c r="R119">
        <f t="shared" si="28"/>
        <v>-0.36</v>
      </c>
      <c r="S119">
        <v>182</v>
      </c>
      <c r="T119" t="str">
        <f t="shared" si="29"/>
        <v>161-190</v>
      </c>
      <c r="U119">
        <f t="shared" si="30"/>
        <v>-1.01</v>
      </c>
      <c r="V119">
        <v>0</v>
      </c>
      <c r="W119">
        <f t="shared" si="31"/>
        <v>-0.64</v>
      </c>
      <c r="X119">
        <v>1.4</v>
      </c>
      <c r="Y119" t="str">
        <f t="shared" si="32"/>
        <v>0.1-1.5</v>
      </c>
      <c r="Z119">
        <f t="shared" si="33"/>
        <v>-0.48</v>
      </c>
      <c r="AA119">
        <v>0</v>
      </c>
      <c r="AB119">
        <f t="shared" si="34"/>
        <v>-0.91</v>
      </c>
      <c r="AC119">
        <v>0</v>
      </c>
      <c r="AD119">
        <f t="shared" si="35"/>
        <v>-0.87</v>
      </c>
      <c r="AE119">
        <v>1</v>
      </c>
      <c r="AF119">
        <f t="shared" si="36"/>
        <v>-1.06</v>
      </c>
      <c r="AG119">
        <v>0</v>
      </c>
      <c r="AH119" t="str">
        <f t="shared" si="37"/>
        <v>No</v>
      </c>
    </row>
    <row r="120" spans="1:34">
      <c r="A120">
        <v>119</v>
      </c>
      <c r="B120">
        <v>63</v>
      </c>
      <c r="C120" t="str">
        <f t="shared" si="19"/>
        <v>57-66</v>
      </c>
      <c r="D120">
        <f t="shared" si="20"/>
        <v>0.64</v>
      </c>
      <c r="E120">
        <v>1</v>
      </c>
      <c r="F120">
        <f t="shared" si="21"/>
        <v>0.38</v>
      </c>
      <c r="G120">
        <v>3</v>
      </c>
      <c r="H120">
        <f t="shared" si="22"/>
        <v>1.1599999999999999</v>
      </c>
      <c r="I120">
        <v>130</v>
      </c>
      <c r="J120" s="2" t="str">
        <f t="shared" si="23"/>
        <v>121-150</v>
      </c>
      <c r="K120" s="2">
        <f t="shared" si="24"/>
        <v>0.04</v>
      </c>
      <c r="L120">
        <v>330</v>
      </c>
      <c r="M120" t="str">
        <f t="shared" si="25"/>
        <v>351-400</v>
      </c>
      <c r="N120">
        <f t="shared" si="26"/>
        <v>0.17</v>
      </c>
      <c r="O120">
        <v>1</v>
      </c>
      <c r="P120">
        <f t="shared" si="27"/>
        <v>0.12</v>
      </c>
      <c r="Q120">
        <v>2</v>
      </c>
      <c r="R120">
        <f t="shared" si="28"/>
        <v>0.33</v>
      </c>
      <c r="S120">
        <v>132</v>
      </c>
      <c r="T120" t="str">
        <f t="shared" si="29"/>
        <v>131-160</v>
      </c>
      <c r="U120">
        <f t="shared" si="30"/>
        <v>0.2</v>
      </c>
      <c r="V120">
        <v>1</v>
      </c>
      <c r="W120">
        <f t="shared" si="31"/>
        <v>1.36</v>
      </c>
      <c r="X120">
        <v>1.8</v>
      </c>
      <c r="Y120" t="str">
        <f t="shared" si="32"/>
        <v>1.6-2.8</v>
      </c>
      <c r="Z120">
        <f t="shared" si="33"/>
        <v>0.99</v>
      </c>
      <c r="AA120">
        <v>0</v>
      </c>
      <c r="AB120">
        <f t="shared" si="34"/>
        <v>-0.91</v>
      </c>
      <c r="AC120">
        <v>3</v>
      </c>
      <c r="AD120">
        <f t="shared" si="35"/>
        <v>1.9</v>
      </c>
      <c r="AE120">
        <v>3</v>
      </c>
      <c r="AF120">
        <f t="shared" si="36"/>
        <v>1.32</v>
      </c>
      <c r="AG120">
        <v>1</v>
      </c>
      <c r="AH120" t="str">
        <f t="shared" si="37"/>
        <v>Yes</v>
      </c>
    </row>
    <row r="121" spans="1:34">
      <c r="A121">
        <v>120</v>
      </c>
      <c r="B121">
        <v>65</v>
      </c>
      <c r="C121" t="str">
        <f t="shared" si="19"/>
        <v>57-66</v>
      </c>
      <c r="D121">
        <f t="shared" si="20"/>
        <v>0.64</v>
      </c>
      <c r="E121">
        <v>1</v>
      </c>
      <c r="F121">
        <f t="shared" si="21"/>
        <v>0.38</v>
      </c>
      <c r="G121">
        <v>3</v>
      </c>
      <c r="H121">
        <f t="shared" si="22"/>
        <v>1.1599999999999999</v>
      </c>
      <c r="I121">
        <v>135</v>
      </c>
      <c r="J121" s="2" t="str">
        <f t="shared" si="23"/>
        <v>121-150</v>
      </c>
      <c r="K121" s="2">
        <f t="shared" si="24"/>
        <v>0.04</v>
      </c>
      <c r="L121">
        <v>254</v>
      </c>
      <c r="M121" t="str">
        <f t="shared" si="25"/>
        <v>251-300</v>
      </c>
      <c r="N121">
        <f t="shared" si="26"/>
        <v>0.48</v>
      </c>
      <c r="O121">
        <v>0</v>
      </c>
      <c r="P121">
        <f t="shared" si="27"/>
        <v>-0.02</v>
      </c>
      <c r="Q121">
        <v>2</v>
      </c>
      <c r="R121">
        <f t="shared" si="28"/>
        <v>0.33</v>
      </c>
      <c r="S121">
        <v>127</v>
      </c>
      <c r="T121" t="str">
        <f t="shared" si="29"/>
        <v>101-130</v>
      </c>
      <c r="U121">
        <f t="shared" si="30"/>
        <v>1.1499999999999999</v>
      </c>
      <c r="V121">
        <v>0</v>
      </c>
      <c r="W121">
        <f t="shared" si="31"/>
        <v>-0.64</v>
      </c>
      <c r="X121">
        <v>2.8</v>
      </c>
      <c r="Y121" t="str">
        <f t="shared" si="32"/>
        <v>1.6-2.8</v>
      </c>
      <c r="Z121">
        <f t="shared" si="33"/>
        <v>0.99</v>
      </c>
      <c r="AA121">
        <v>1</v>
      </c>
      <c r="AB121">
        <f t="shared" si="34"/>
        <v>0.78</v>
      </c>
      <c r="AC121">
        <v>1</v>
      </c>
      <c r="AD121">
        <f t="shared" si="35"/>
        <v>0.91</v>
      </c>
      <c r="AE121">
        <v>3</v>
      </c>
      <c r="AF121">
        <f t="shared" si="36"/>
        <v>1.32</v>
      </c>
      <c r="AG121">
        <v>1</v>
      </c>
      <c r="AH121" t="str">
        <f t="shared" si="37"/>
        <v>Yes</v>
      </c>
    </row>
    <row r="122" spans="1:34">
      <c r="A122">
        <v>121</v>
      </c>
      <c r="B122">
        <v>48</v>
      </c>
      <c r="C122" t="str">
        <f t="shared" si="19"/>
        <v>47-56</v>
      </c>
      <c r="D122">
        <f t="shared" si="20"/>
        <v>-0.28000000000000003</v>
      </c>
      <c r="E122">
        <v>1</v>
      </c>
      <c r="F122">
        <f t="shared" si="21"/>
        <v>0.38</v>
      </c>
      <c r="G122">
        <v>3</v>
      </c>
      <c r="H122">
        <f t="shared" si="22"/>
        <v>1.1599999999999999</v>
      </c>
      <c r="I122">
        <v>130</v>
      </c>
      <c r="J122" s="2" t="str">
        <f t="shared" si="23"/>
        <v>121-150</v>
      </c>
      <c r="K122" s="2">
        <f t="shared" si="24"/>
        <v>0.04</v>
      </c>
      <c r="L122">
        <v>256</v>
      </c>
      <c r="M122" t="str">
        <f t="shared" si="25"/>
        <v>251-300</v>
      </c>
      <c r="N122">
        <f t="shared" si="26"/>
        <v>0.48</v>
      </c>
      <c r="O122">
        <v>1</v>
      </c>
      <c r="P122">
        <f t="shared" si="27"/>
        <v>0.12</v>
      </c>
      <c r="Q122">
        <v>2</v>
      </c>
      <c r="R122">
        <f t="shared" si="28"/>
        <v>0.33</v>
      </c>
      <c r="S122">
        <v>150</v>
      </c>
      <c r="T122" t="str">
        <f t="shared" si="29"/>
        <v>131-160</v>
      </c>
      <c r="U122">
        <f t="shared" si="30"/>
        <v>0.2</v>
      </c>
      <c r="V122">
        <v>1</v>
      </c>
      <c r="W122">
        <f t="shared" si="31"/>
        <v>1.36</v>
      </c>
      <c r="X122">
        <v>0</v>
      </c>
      <c r="Y122" t="str">
        <f t="shared" si="32"/>
        <v>0.1-1.5</v>
      </c>
      <c r="Z122">
        <f t="shared" si="33"/>
        <v>-0.48</v>
      </c>
      <c r="AA122">
        <v>0</v>
      </c>
      <c r="AB122">
        <f t="shared" si="34"/>
        <v>-0.91</v>
      </c>
      <c r="AC122">
        <v>2</v>
      </c>
      <c r="AD122">
        <f t="shared" si="35"/>
        <v>1.65</v>
      </c>
      <c r="AE122">
        <v>3</v>
      </c>
      <c r="AF122">
        <f t="shared" si="36"/>
        <v>1.32</v>
      </c>
      <c r="AG122">
        <v>1</v>
      </c>
      <c r="AH122" t="str">
        <f t="shared" si="37"/>
        <v>Yes</v>
      </c>
    </row>
    <row r="123" spans="1:34">
      <c r="A123">
        <v>122</v>
      </c>
      <c r="B123">
        <v>63</v>
      </c>
      <c r="C123" t="str">
        <f t="shared" si="19"/>
        <v>57-66</v>
      </c>
      <c r="D123">
        <f t="shared" si="20"/>
        <v>0.64</v>
      </c>
      <c r="E123">
        <v>0</v>
      </c>
      <c r="F123">
        <f t="shared" si="21"/>
        <v>-0.89</v>
      </c>
      <c r="G123">
        <v>3</v>
      </c>
      <c r="H123">
        <f t="shared" si="22"/>
        <v>1.1599999999999999</v>
      </c>
      <c r="I123">
        <v>150</v>
      </c>
      <c r="J123" s="2" t="str">
        <f t="shared" si="23"/>
        <v>121-150</v>
      </c>
      <c r="K123" s="2">
        <f t="shared" si="24"/>
        <v>0.04</v>
      </c>
      <c r="L123">
        <v>407</v>
      </c>
      <c r="M123" t="str">
        <f t="shared" si="25"/>
        <v>400+</v>
      </c>
      <c r="N123">
        <f t="shared" si="26"/>
        <v>-0.35</v>
      </c>
      <c r="O123">
        <v>0</v>
      </c>
      <c r="P123">
        <f t="shared" si="27"/>
        <v>-0.02</v>
      </c>
      <c r="Q123">
        <v>2</v>
      </c>
      <c r="R123">
        <f t="shared" si="28"/>
        <v>0.33</v>
      </c>
      <c r="S123">
        <v>154</v>
      </c>
      <c r="T123" t="str">
        <f t="shared" si="29"/>
        <v>131-160</v>
      </c>
      <c r="U123">
        <f t="shared" si="30"/>
        <v>0.2</v>
      </c>
      <c r="V123">
        <v>0</v>
      </c>
      <c r="W123">
        <f t="shared" si="31"/>
        <v>-0.64</v>
      </c>
      <c r="X123">
        <v>4</v>
      </c>
      <c r="Y123" t="str">
        <f t="shared" si="32"/>
        <v>2.9-4</v>
      </c>
      <c r="Z123">
        <f t="shared" si="33"/>
        <v>2.42</v>
      </c>
      <c r="AA123">
        <v>1</v>
      </c>
      <c r="AB123">
        <f t="shared" si="34"/>
        <v>0.78</v>
      </c>
      <c r="AC123">
        <v>3</v>
      </c>
      <c r="AD123">
        <f t="shared" si="35"/>
        <v>1.9</v>
      </c>
      <c r="AE123">
        <v>3</v>
      </c>
      <c r="AF123">
        <f t="shared" si="36"/>
        <v>1.32</v>
      </c>
      <c r="AG123">
        <v>1</v>
      </c>
      <c r="AH123" t="str">
        <f t="shared" si="37"/>
        <v>Yes</v>
      </c>
    </row>
    <row r="124" spans="1:34">
      <c r="A124">
        <v>123</v>
      </c>
      <c r="B124">
        <v>51</v>
      </c>
      <c r="C124" t="str">
        <f t="shared" si="19"/>
        <v>47-56</v>
      </c>
      <c r="D124">
        <f t="shared" si="20"/>
        <v>-0.28000000000000003</v>
      </c>
      <c r="E124">
        <v>1</v>
      </c>
      <c r="F124">
        <f t="shared" si="21"/>
        <v>0.38</v>
      </c>
      <c r="G124">
        <v>2</v>
      </c>
      <c r="H124">
        <f t="shared" si="22"/>
        <v>-1.1599999999999999</v>
      </c>
      <c r="I124">
        <v>100</v>
      </c>
      <c r="J124" s="2" t="str">
        <f t="shared" si="23"/>
        <v>94-120</v>
      </c>
      <c r="K124" s="2">
        <f t="shared" si="24"/>
        <v>-0.32</v>
      </c>
      <c r="L124">
        <v>222</v>
      </c>
      <c r="M124" t="str">
        <f t="shared" si="25"/>
        <v>201-250</v>
      </c>
      <c r="N124">
        <f t="shared" si="26"/>
        <v>0.17</v>
      </c>
      <c r="O124">
        <v>0</v>
      </c>
      <c r="P124">
        <f t="shared" si="27"/>
        <v>-0.02</v>
      </c>
      <c r="Q124">
        <v>0</v>
      </c>
      <c r="R124">
        <f t="shared" si="28"/>
        <v>-0.36</v>
      </c>
      <c r="S124">
        <v>143</v>
      </c>
      <c r="T124" t="str">
        <f t="shared" si="29"/>
        <v>131-160</v>
      </c>
      <c r="U124">
        <f t="shared" si="30"/>
        <v>0.2</v>
      </c>
      <c r="V124">
        <v>1</v>
      </c>
      <c r="W124">
        <f t="shared" si="31"/>
        <v>1.36</v>
      </c>
      <c r="X124">
        <v>1.2</v>
      </c>
      <c r="Y124" t="str">
        <f t="shared" si="32"/>
        <v>0.1-1.5</v>
      </c>
      <c r="Z124">
        <f t="shared" si="33"/>
        <v>-0.48</v>
      </c>
      <c r="AA124">
        <v>1</v>
      </c>
      <c r="AB124">
        <f t="shared" si="34"/>
        <v>0.78</v>
      </c>
      <c r="AC124">
        <v>0</v>
      </c>
      <c r="AD124">
        <f t="shared" si="35"/>
        <v>-0.87</v>
      </c>
      <c r="AE124">
        <v>1</v>
      </c>
      <c r="AF124">
        <f t="shared" si="36"/>
        <v>-1.06</v>
      </c>
      <c r="AG124">
        <v>0</v>
      </c>
      <c r="AH124" t="str">
        <f t="shared" si="37"/>
        <v>No</v>
      </c>
    </row>
    <row r="125" spans="1:34">
      <c r="A125">
        <v>124</v>
      </c>
      <c r="B125">
        <v>55</v>
      </c>
      <c r="C125" t="str">
        <f t="shared" si="19"/>
        <v>47-56</v>
      </c>
      <c r="D125">
        <f t="shared" si="20"/>
        <v>-0.28000000000000003</v>
      </c>
      <c r="E125">
        <v>1</v>
      </c>
      <c r="F125">
        <f t="shared" si="21"/>
        <v>0.38</v>
      </c>
      <c r="G125">
        <v>3</v>
      </c>
      <c r="H125">
        <f t="shared" si="22"/>
        <v>1.1599999999999999</v>
      </c>
      <c r="I125">
        <v>140</v>
      </c>
      <c r="J125" s="2" t="str">
        <f t="shared" si="23"/>
        <v>121-150</v>
      </c>
      <c r="K125" s="2">
        <f t="shared" si="24"/>
        <v>0.04</v>
      </c>
      <c r="L125">
        <v>217</v>
      </c>
      <c r="M125" t="str">
        <f t="shared" si="25"/>
        <v>201-250</v>
      </c>
      <c r="N125">
        <f t="shared" si="26"/>
        <v>0.17</v>
      </c>
      <c r="O125">
        <v>0</v>
      </c>
      <c r="P125">
        <f t="shared" si="27"/>
        <v>-0.02</v>
      </c>
      <c r="Q125">
        <v>0</v>
      </c>
      <c r="R125">
        <f t="shared" si="28"/>
        <v>-0.36</v>
      </c>
      <c r="S125">
        <v>111</v>
      </c>
      <c r="T125" t="str">
        <f t="shared" si="29"/>
        <v>101-130</v>
      </c>
      <c r="U125">
        <f t="shared" si="30"/>
        <v>1.1499999999999999</v>
      </c>
      <c r="V125">
        <v>1</v>
      </c>
      <c r="W125">
        <f t="shared" si="31"/>
        <v>1.36</v>
      </c>
      <c r="X125">
        <v>5.6</v>
      </c>
      <c r="Y125" t="str">
        <f t="shared" si="32"/>
        <v>4+</v>
      </c>
      <c r="Z125">
        <f t="shared" si="33"/>
        <v>1.55</v>
      </c>
      <c r="AA125">
        <v>2</v>
      </c>
      <c r="AB125">
        <f t="shared" si="34"/>
        <v>0.45</v>
      </c>
      <c r="AC125">
        <v>0</v>
      </c>
      <c r="AD125">
        <f t="shared" si="35"/>
        <v>-0.87</v>
      </c>
      <c r="AE125">
        <v>3</v>
      </c>
      <c r="AF125">
        <f t="shared" si="36"/>
        <v>1.32</v>
      </c>
      <c r="AG125">
        <v>1</v>
      </c>
      <c r="AH125" t="str">
        <f t="shared" si="37"/>
        <v>Yes</v>
      </c>
    </row>
    <row r="126" spans="1:34">
      <c r="A126">
        <v>125</v>
      </c>
      <c r="B126">
        <v>65</v>
      </c>
      <c r="C126" t="str">
        <f t="shared" si="19"/>
        <v>57-66</v>
      </c>
      <c r="D126">
        <f t="shared" si="20"/>
        <v>0.64</v>
      </c>
      <c r="E126">
        <v>1</v>
      </c>
      <c r="F126">
        <f t="shared" si="21"/>
        <v>0.38</v>
      </c>
      <c r="G126">
        <v>0</v>
      </c>
      <c r="H126">
        <f t="shared" si="22"/>
        <v>-0.66</v>
      </c>
      <c r="I126">
        <v>138</v>
      </c>
      <c r="J126" s="2" t="str">
        <f t="shared" si="23"/>
        <v>121-150</v>
      </c>
      <c r="K126" s="2">
        <f t="shared" si="24"/>
        <v>0.04</v>
      </c>
      <c r="L126">
        <v>282</v>
      </c>
      <c r="M126" t="str">
        <f t="shared" si="25"/>
        <v>251-300</v>
      </c>
      <c r="N126">
        <f t="shared" si="26"/>
        <v>0.48</v>
      </c>
      <c r="O126">
        <v>1</v>
      </c>
      <c r="P126">
        <f t="shared" si="27"/>
        <v>0.12</v>
      </c>
      <c r="Q126">
        <v>2</v>
      </c>
      <c r="R126">
        <f t="shared" si="28"/>
        <v>0.33</v>
      </c>
      <c r="S126">
        <v>174</v>
      </c>
      <c r="T126" t="str">
        <f t="shared" si="29"/>
        <v>161-190</v>
      </c>
      <c r="U126">
        <f t="shared" si="30"/>
        <v>-1.01</v>
      </c>
      <c r="V126">
        <v>0</v>
      </c>
      <c r="W126">
        <f t="shared" si="31"/>
        <v>-0.64</v>
      </c>
      <c r="X126">
        <v>1.4</v>
      </c>
      <c r="Y126" t="str">
        <f t="shared" si="32"/>
        <v>0.1-1.5</v>
      </c>
      <c r="Z126">
        <f t="shared" si="33"/>
        <v>-0.48</v>
      </c>
      <c r="AA126">
        <v>1</v>
      </c>
      <c r="AB126">
        <f t="shared" si="34"/>
        <v>0.78</v>
      </c>
      <c r="AC126">
        <v>1</v>
      </c>
      <c r="AD126">
        <f t="shared" si="35"/>
        <v>0.91</v>
      </c>
      <c r="AE126">
        <v>1</v>
      </c>
      <c r="AF126">
        <f t="shared" si="36"/>
        <v>-1.06</v>
      </c>
      <c r="AG126">
        <v>1</v>
      </c>
      <c r="AH126" t="str">
        <f t="shared" si="37"/>
        <v>Yes</v>
      </c>
    </row>
    <row r="127" spans="1:34">
      <c r="A127">
        <v>126</v>
      </c>
      <c r="B127">
        <v>45</v>
      </c>
      <c r="C127" t="str">
        <f t="shared" si="19"/>
        <v>37-46</v>
      </c>
      <c r="D127">
        <f t="shared" si="20"/>
        <v>-0.83</v>
      </c>
      <c r="E127">
        <v>0</v>
      </c>
      <c r="F127">
        <f t="shared" si="21"/>
        <v>-0.89</v>
      </c>
      <c r="G127">
        <v>1</v>
      </c>
      <c r="H127">
        <f t="shared" si="22"/>
        <v>-1.35</v>
      </c>
      <c r="I127">
        <v>130</v>
      </c>
      <c r="J127" s="2" t="str">
        <f t="shared" si="23"/>
        <v>121-150</v>
      </c>
      <c r="K127" s="2">
        <f t="shared" si="24"/>
        <v>0.04</v>
      </c>
      <c r="L127">
        <v>234</v>
      </c>
      <c r="M127" t="str">
        <f t="shared" si="25"/>
        <v>201-250</v>
      </c>
      <c r="N127">
        <f t="shared" si="26"/>
        <v>0.17</v>
      </c>
      <c r="O127">
        <v>0</v>
      </c>
      <c r="P127">
        <f t="shared" si="27"/>
        <v>-0.02</v>
      </c>
      <c r="Q127">
        <v>2</v>
      </c>
      <c r="R127">
        <f t="shared" si="28"/>
        <v>0.33</v>
      </c>
      <c r="S127">
        <v>175</v>
      </c>
      <c r="T127" t="str">
        <f t="shared" si="29"/>
        <v>161-190</v>
      </c>
      <c r="U127">
        <f t="shared" si="30"/>
        <v>-1.01</v>
      </c>
      <c r="V127">
        <v>0</v>
      </c>
      <c r="W127">
        <f t="shared" si="31"/>
        <v>-0.64</v>
      </c>
      <c r="X127">
        <v>0.6</v>
      </c>
      <c r="Y127" t="str">
        <f t="shared" si="32"/>
        <v>0.1-1.5</v>
      </c>
      <c r="Z127">
        <f t="shared" si="33"/>
        <v>-0.48</v>
      </c>
      <c r="AA127">
        <v>1</v>
      </c>
      <c r="AB127">
        <f t="shared" si="34"/>
        <v>0.78</v>
      </c>
      <c r="AC127">
        <v>0</v>
      </c>
      <c r="AD127">
        <f t="shared" si="35"/>
        <v>-0.87</v>
      </c>
      <c r="AE127">
        <v>1</v>
      </c>
      <c r="AF127">
        <f t="shared" si="36"/>
        <v>-1.06</v>
      </c>
      <c r="AG127">
        <v>0</v>
      </c>
      <c r="AH127" t="str">
        <f t="shared" si="37"/>
        <v>No</v>
      </c>
    </row>
    <row r="128" spans="1:34">
      <c r="A128">
        <v>127</v>
      </c>
      <c r="B128">
        <v>56</v>
      </c>
      <c r="C128" t="str">
        <f t="shared" si="19"/>
        <v>47-56</v>
      </c>
      <c r="D128">
        <f t="shared" si="20"/>
        <v>-0.28000000000000003</v>
      </c>
      <c r="E128">
        <v>0</v>
      </c>
      <c r="F128">
        <f t="shared" si="21"/>
        <v>-0.89</v>
      </c>
      <c r="G128">
        <v>3</v>
      </c>
      <c r="H128">
        <f t="shared" si="22"/>
        <v>1.1599999999999999</v>
      </c>
      <c r="I128">
        <v>200</v>
      </c>
      <c r="J128" s="2" t="str">
        <f t="shared" si="23"/>
        <v>180+</v>
      </c>
      <c r="K128" s="2">
        <f t="shared" si="24"/>
        <v>1.55</v>
      </c>
      <c r="L128">
        <v>288</v>
      </c>
      <c r="M128" t="str">
        <f t="shared" si="25"/>
        <v>251-300</v>
      </c>
      <c r="N128">
        <f t="shared" si="26"/>
        <v>0.48</v>
      </c>
      <c r="O128">
        <v>1</v>
      </c>
      <c r="P128">
        <f t="shared" si="27"/>
        <v>0.12</v>
      </c>
      <c r="Q128">
        <v>2</v>
      </c>
      <c r="R128">
        <f t="shared" si="28"/>
        <v>0.33</v>
      </c>
      <c r="S128">
        <v>133</v>
      </c>
      <c r="T128" t="str">
        <f t="shared" si="29"/>
        <v>131-160</v>
      </c>
      <c r="U128">
        <f t="shared" si="30"/>
        <v>0.2</v>
      </c>
      <c r="V128">
        <v>1</v>
      </c>
      <c r="W128">
        <f t="shared" si="31"/>
        <v>1.36</v>
      </c>
      <c r="X128">
        <v>4</v>
      </c>
      <c r="Y128" t="str">
        <f t="shared" si="32"/>
        <v>2.9-4</v>
      </c>
      <c r="Z128">
        <f t="shared" si="33"/>
        <v>2.42</v>
      </c>
      <c r="AA128">
        <v>2</v>
      </c>
      <c r="AB128">
        <f t="shared" si="34"/>
        <v>0.45</v>
      </c>
      <c r="AC128">
        <v>2</v>
      </c>
      <c r="AD128">
        <f t="shared" si="35"/>
        <v>1.65</v>
      </c>
      <c r="AE128">
        <v>3</v>
      </c>
      <c r="AF128">
        <f t="shared" si="36"/>
        <v>1.32</v>
      </c>
      <c r="AG128">
        <v>1</v>
      </c>
      <c r="AH128" t="str">
        <f t="shared" si="37"/>
        <v>Yes</v>
      </c>
    </row>
    <row r="129" spans="1:34">
      <c r="A129">
        <v>128</v>
      </c>
      <c r="B129">
        <v>54</v>
      </c>
      <c r="C129" t="str">
        <f t="shared" si="19"/>
        <v>47-56</v>
      </c>
      <c r="D129">
        <f t="shared" si="20"/>
        <v>-0.28000000000000003</v>
      </c>
      <c r="E129">
        <v>1</v>
      </c>
      <c r="F129">
        <f t="shared" si="21"/>
        <v>0.38</v>
      </c>
      <c r="G129">
        <v>3</v>
      </c>
      <c r="H129">
        <f t="shared" si="22"/>
        <v>1.1599999999999999</v>
      </c>
      <c r="I129">
        <v>110</v>
      </c>
      <c r="J129" s="2" t="str">
        <f t="shared" si="23"/>
        <v>94-120</v>
      </c>
      <c r="K129" s="2">
        <f t="shared" si="24"/>
        <v>-0.32</v>
      </c>
      <c r="L129">
        <v>239</v>
      </c>
      <c r="M129" t="str">
        <f t="shared" si="25"/>
        <v>201-250</v>
      </c>
      <c r="N129">
        <f t="shared" si="26"/>
        <v>0.17</v>
      </c>
      <c r="O129">
        <v>0</v>
      </c>
      <c r="P129">
        <f t="shared" si="27"/>
        <v>-0.02</v>
      </c>
      <c r="Q129">
        <v>0</v>
      </c>
      <c r="R129">
        <f t="shared" si="28"/>
        <v>-0.36</v>
      </c>
      <c r="S129">
        <v>126</v>
      </c>
      <c r="T129" t="str">
        <f t="shared" si="29"/>
        <v>101-130</v>
      </c>
      <c r="U129">
        <f t="shared" si="30"/>
        <v>1.1499999999999999</v>
      </c>
      <c r="V129">
        <v>1</v>
      </c>
      <c r="W129">
        <f t="shared" si="31"/>
        <v>1.36</v>
      </c>
      <c r="X129">
        <v>2.8</v>
      </c>
      <c r="Y129" t="str">
        <f t="shared" si="32"/>
        <v>1.6-2.8</v>
      </c>
      <c r="Z129">
        <f t="shared" si="33"/>
        <v>0.99</v>
      </c>
      <c r="AA129">
        <v>1</v>
      </c>
      <c r="AB129">
        <f t="shared" si="34"/>
        <v>0.78</v>
      </c>
      <c r="AC129">
        <v>1</v>
      </c>
      <c r="AD129">
        <f t="shared" si="35"/>
        <v>0.91</v>
      </c>
      <c r="AE129">
        <v>3</v>
      </c>
      <c r="AF129">
        <f t="shared" si="36"/>
        <v>1.32</v>
      </c>
      <c r="AG129">
        <v>1</v>
      </c>
      <c r="AH129" t="str">
        <f t="shared" si="37"/>
        <v>Yes</v>
      </c>
    </row>
    <row r="130" spans="1:34">
      <c r="A130">
        <v>129</v>
      </c>
      <c r="B130">
        <v>44</v>
      </c>
      <c r="C130" t="str">
        <f t="shared" si="19"/>
        <v>37-46</v>
      </c>
      <c r="D130">
        <f t="shared" si="20"/>
        <v>-0.83</v>
      </c>
      <c r="E130">
        <v>1</v>
      </c>
      <c r="F130">
        <f t="shared" si="21"/>
        <v>0.38</v>
      </c>
      <c r="G130">
        <v>1</v>
      </c>
      <c r="H130">
        <f t="shared" si="22"/>
        <v>-1.35</v>
      </c>
      <c r="I130">
        <v>120</v>
      </c>
      <c r="J130" s="2" t="str">
        <f t="shared" si="23"/>
        <v>94-120</v>
      </c>
      <c r="K130" s="2">
        <f t="shared" si="24"/>
        <v>-0.32</v>
      </c>
      <c r="L130">
        <v>220</v>
      </c>
      <c r="M130" t="str">
        <f t="shared" si="25"/>
        <v>201-250</v>
      </c>
      <c r="N130">
        <f t="shared" si="26"/>
        <v>0.17</v>
      </c>
      <c r="O130">
        <v>0</v>
      </c>
      <c r="P130">
        <f t="shared" si="27"/>
        <v>-0.02</v>
      </c>
      <c r="Q130">
        <v>0</v>
      </c>
      <c r="R130">
        <f t="shared" si="28"/>
        <v>-0.36</v>
      </c>
      <c r="S130">
        <v>170</v>
      </c>
      <c r="T130" t="str">
        <f t="shared" si="29"/>
        <v>161-190</v>
      </c>
      <c r="U130">
        <f t="shared" si="30"/>
        <v>-1.01</v>
      </c>
      <c r="V130">
        <v>0</v>
      </c>
      <c r="W130">
        <f t="shared" si="31"/>
        <v>-0.64</v>
      </c>
      <c r="X130">
        <v>0</v>
      </c>
      <c r="Y130" t="str">
        <f t="shared" si="32"/>
        <v>0.1-1.5</v>
      </c>
      <c r="Z130">
        <f t="shared" si="33"/>
        <v>-0.48</v>
      </c>
      <c r="AA130">
        <v>0</v>
      </c>
      <c r="AB130">
        <f t="shared" si="34"/>
        <v>-0.91</v>
      </c>
      <c r="AC130">
        <v>0</v>
      </c>
      <c r="AD130">
        <f t="shared" si="35"/>
        <v>-0.87</v>
      </c>
      <c r="AE130">
        <v>1</v>
      </c>
      <c r="AF130">
        <f t="shared" si="36"/>
        <v>-1.06</v>
      </c>
      <c r="AG130">
        <v>0</v>
      </c>
      <c r="AH130" t="str">
        <f t="shared" si="37"/>
        <v>No</v>
      </c>
    </row>
    <row r="131" spans="1:34">
      <c r="A131">
        <v>130</v>
      </c>
      <c r="B131">
        <v>62</v>
      </c>
      <c r="C131" t="str">
        <f t="shared" ref="C131:C194" si="38">IF(B131&lt;37,"27-36",IF(B131&lt;47,"37-46",IF(B131&lt;57,"47-56",IF(B131&lt;67,"57-66","66+"))))</f>
        <v>57-66</v>
      </c>
      <c r="D131">
        <f t="shared" ref="D131:D194" si="39">IF(C131="27-36",-0.75,IF(C131="37-46",-0.83,IF(C131="47-56",-0.28,IF(C131="57-66",0.64,0.17))))</f>
        <v>0.64</v>
      </c>
      <c r="E131">
        <v>0</v>
      </c>
      <c r="F131">
        <f t="shared" ref="F131:F194" si="40">IF(E131=1,0.38,-0.89)</f>
        <v>-0.89</v>
      </c>
      <c r="G131">
        <v>3</v>
      </c>
      <c r="H131">
        <f t="shared" ref="H131:H194" si="41">IF(G131=0,-0.66,IF(G131=1,-1.35,IF(G131=2,-1.16,1.16)))</f>
        <v>1.1599999999999999</v>
      </c>
      <c r="I131">
        <v>124</v>
      </c>
      <c r="J131" s="2" t="str">
        <f t="shared" ref="J131:J194" si="42">IF(I131&lt;=120,"94-120",IF(I131&lt;=150,"121-150",IF(I131&lt;180,"151-180","180+")))</f>
        <v>121-150</v>
      </c>
      <c r="K131" s="2">
        <f t="shared" ref="K131:K194" si="43">IF(J131="121-150",0.04,IF(J131="151-180",0.57,IF(J131="94-120",-0.32,1.55)))</f>
        <v>0.04</v>
      </c>
      <c r="L131">
        <v>209</v>
      </c>
      <c r="M131" t="str">
        <f t="shared" ref="M131:M194" si="44">IF(L131&lt;=200,"126-200",IF(L131&lt;=250,"201-250",IF(L131&lt;=300,"251-300",IF(L131&lt;=350,"351-400","400+"))))</f>
        <v>201-250</v>
      </c>
      <c r="N131">
        <f t="shared" ref="N131:N194" si="45">IF(M131="126-200",-0.16,IF(M131="201,250",-0.29,IF(M131="251-300",0.48,IF(M131="400+",-0.35,0.17))))</f>
        <v>0.17</v>
      </c>
      <c r="O131">
        <v>0</v>
      </c>
      <c r="P131">
        <f t="shared" ref="P131:P194" si="46">IF(O131=1,0.12,-0.02)</f>
        <v>-0.02</v>
      </c>
      <c r="Q131">
        <v>0</v>
      </c>
      <c r="R131">
        <f t="shared" ref="R131:R194" si="47">IF(Q131=0,-0.36,IF(Q131=1,1.26,0.33))</f>
        <v>-0.36</v>
      </c>
      <c r="S131">
        <v>163</v>
      </c>
      <c r="T131" t="str">
        <f t="shared" ref="T131:T194" si="48">IF(S131&lt;=100,"71-100",IF(S131&lt;=130,"101-130",IF(S131&lt;=160,"131-160",IF(S131&lt;=190,"161-190","190+"))))</f>
        <v>161-190</v>
      </c>
      <c r="U131">
        <f t="shared" ref="U131:U194" si="49">IF(T131="101-130",1.15,IF(T131="131-160",0.2,IF(T131="161-190",-1.01,IF(T131="190",-0.93,2.11))))</f>
        <v>-1.01</v>
      </c>
      <c r="V131">
        <v>0</v>
      </c>
      <c r="W131">
        <f t="shared" ref="W131:W194" si="50">IF(V131=0,-0.64,1.36)</f>
        <v>-0.64</v>
      </c>
      <c r="X131">
        <v>0</v>
      </c>
      <c r="Y131" t="str">
        <f t="shared" ref="Y131:Y194" si="51">IF(X131&lt;=1.5,"0.1-1.5",IF(X131&lt;=2.8,"1.6-2.8",IF(X131&lt;=4,"2.9-4","4+")))</f>
        <v>0.1-1.5</v>
      </c>
      <c r="Z131">
        <f t="shared" ref="Z131:Z194" si="52">IF(Y131="1.6-2.8",0.99,IF(Y131="0.1-1.5",-0.48,IF(Y131="2.9-4",2.42,1.55)))</f>
        <v>-0.48</v>
      </c>
      <c r="AA131">
        <v>0</v>
      </c>
      <c r="AB131">
        <f t="shared" ref="AB131:AB194" si="53">IF(AA131=1,0.78,IF(AA131=0,-0.91,0.45))</f>
        <v>-0.91</v>
      </c>
      <c r="AC131">
        <v>0</v>
      </c>
      <c r="AD131">
        <f t="shared" ref="AD131:AD194" si="54">IF(AC131=0,-0.87,IF(AC131=1,0.91,IF(AC131=2,1.65,1.9)))</f>
        <v>-0.87</v>
      </c>
      <c r="AE131">
        <v>1</v>
      </c>
      <c r="AF131">
        <f t="shared" ref="AF131:AF194" si="55">IF(AE131=2,0.86,IF(AE131=1,-1.06,1.32))</f>
        <v>-1.06</v>
      </c>
      <c r="AG131">
        <v>0</v>
      </c>
      <c r="AH131" t="str">
        <f t="shared" ref="AH131:AH194" si="56">IF(AG131=1,"Yes","No")</f>
        <v>No</v>
      </c>
    </row>
    <row r="132" spans="1:34">
      <c r="A132">
        <v>131</v>
      </c>
      <c r="B132">
        <v>54</v>
      </c>
      <c r="C132" t="str">
        <f t="shared" si="38"/>
        <v>47-56</v>
      </c>
      <c r="D132">
        <f t="shared" si="39"/>
        <v>-0.28000000000000003</v>
      </c>
      <c r="E132">
        <v>1</v>
      </c>
      <c r="F132">
        <f t="shared" si="40"/>
        <v>0.38</v>
      </c>
      <c r="G132">
        <v>2</v>
      </c>
      <c r="H132">
        <f t="shared" si="41"/>
        <v>-1.1599999999999999</v>
      </c>
      <c r="I132">
        <v>120</v>
      </c>
      <c r="J132" s="2" t="str">
        <f t="shared" si="42"/>
        <v>94-120</v>
      </c>
      <c r="K132" s="2">
        <f t="shared" si="43"/>
        <v>-0.32</v>
      </c>
      <c r="L132">
        <v>258</v>
      </c>
      <c r="M132" t="str">
        <f t="shared" si="44"/>
        <v>251-300</v>
      </c>
      <c r="N132">
        <f t="shared" si="45"/>
        <v>0.48</v>
      </c>
      <c r="O132">
        <v>0</v>
      </c>
      <c r="P132">
        <f t="shared" si="46"/>
        <v>-0.02</v>
      </c>
      <c r="Q132">
        <v>2</v>
      </c>
      <c r="R132">
        <f t="shared" si="47"/>
        <v>0.33</v>
      </c>
      <c r="S132">
        <v>147</v>
      </c>
      <c r="T132" t="str">
        <f t="shared" si="48"/>
        <v>131-160</v>
      </c>
      <c r="U132">
        <f t="shared" si="49"/>
        <v>0.2</v>
      </c>
      <c r="V132">
        <v>0</v>
      </c>
      <c r="W132">
        <f t="shared" si="50"/>
        <v>-0.64</v>
      </c>
      <c r="X132">
        <v>0.4</v>
      </c>
      <c r="Y132" t="str">
        <f t="shared" si="51"/>
        <v>0.1-1.5</v>
      </c>
      <c r="Z132">
        <f t="shared" si="52"/>
        <v>-0.48</v>
      </c>
      <c r="AA132">
        <v>1</v>
      </c>
      <c r="AB132">
        <f t="shared" si="53"/>
        <v>0.78</v>
      </c>
      <c r="AC132">
        <v>0</v>
      </c>
      <c r="AD132">
        <f t="shared" si="54"/>
        <v>-0.87</v>
      </c>
      <c r="AE132">
        <v>3</v>
      </c>
      <c r="AF132">
        <f t="shared" si="55"/>
        <v>1.32</v>
      </c>
      <c r="AG132">
        <v>0</v>
      </c>
      <c r="AH132" t="str">
        <f t="shared" si="56"/>
        <v>No</v>
      </c>
    </row>
    <row r="133" spans="1:34">
      <c r="A133">
        <v>132</v>
      </c>
      <c r="B133">
        <v>51</v>
      </c>
      <c r="C133" t="str">
        <f t="shared" si="38"/>
        <v>47-56</v>
      </c>
      <c r="D133">
        <f t="shared" si="39"/>
        <v>-0.28000000000000003</v>
      </c>
      <c r="E133">
        <v>1</v>
      </c>
      <c r="F133">
        <f t="shared" si="40"/>
        <v>0.38</v>
      </c>
      <c r="G133">
        <v>2</v>
      </c>
      <c r="H133">
        <f t="shared" si="41"/>
        <v>-1.1599999999999999</v>
      </c>
      <c r="I133">
        <v>94</v>
      </c>
      <c r="J133" s="2" t="str">
        <f t="shared" si="42"/>
        <v>94-120</v>
      </c>
      <c r="K133" s="2">
        <f t="shared" si="43"/>
        <v>-0.32</v>
      </c>
      <c r="L133">
        <v>227</v>
      </c>
      <c r="M133" t="str">
        <f t="shared" si="44"/>
        <v>201-250</v>
      </c>
      <c r="N133">
        <f t="shared" si="45"/>
        <v>0.17</v>
      </c>
      <c r="O133">
        <v>0</v>
      </c>
      <c r="P133">
        <f t="shared" si="46"/>
        <v>-0.02</v>
      </c>
      <c r="Q133">
        <v>0</v>
      </c>
      <c r="R133">
        <f t="shared" si="47"/>
        <v>-0.36</v>
      </c>
      <c r="S133">
        <v>154</v>
      </c>
      <c r="T133" t="str">
        <f t="shared" si="48"/>
        <v>131-160</v>
      </c>
      <c r="U133">
        <f t="shared" si="49"/>
        <v>0.2</v>
      </c>
      <c r="V133">
        <v>1</v>
      </c>
      <c r="W133">
        <f t="shared" si="50"/>
        <v>1.36</v>
      </c>
      <c r="X133">
        <v>0</v>
      </c>
      <c r="Y133" t="str">
        <f t="shared" si="51"/>
        <v>0.1-1.5</v>
      </c>
      <c r="Z133">
        <f t="shared" si="52"/>
        <v>-0.48</v>
      </c>
      <c r="AA133">
        <v>0</v>
      </c>
      <c r="AB133">
        <f t="shared" si="53"/>
        <v>-0.91</v>
      </c>
      <c r="AC133">
        <v>1</v>
      </c>
      <c r="AD133">
        <f t="shared" si="54"/>
        <v>0.91</v>
      </c>
      <c r="AE133">
        <v>3</v>
      </c>
      <c r="AF133">
        <f t="shared" si="55"/>
        <v>1.32</v>
      </c>
      <c r="AG133">
        <v>0</v>
      </c>
      <c r="AH133" t="str">
        <f t="shared" si="56"/>
        <v>No</v>
      </c>
    </row>
    <row r="134" spans="1:34">
      <c r="A134">
        <v>133</v>
      </c>
      <c r="B134">
        <v>29</v>
      </c>
      <c r="C134" t="str">
        <f t="shared" si="38"/>
        <v>27-36</v>
      </c>
      <c r="D134">
        <f t="shared" si="39"/>
        <v>-0.75</v>
      </c>
      <c r="E134">
        <v>1</v>
      </c>
      <c r="F134">
        <f t="shared" si="40"/>
        <v>0.38</v>
      </c>
      <c r="G134">
        <v>1</v>
      </c>
      <c r="H134">
        <f t="shared" si="41"/>
        <v>-1.35</v>
      </c>
      <c r="I134">
        <v>130</v>
      </c>
      <c r="J134" s="2" t="str">
        <f t="shared" si="42"/>
        <v>121-150</v>
      </c>
      <c r="K134" s="2">
        <f t="shared" si="43"/>
        <v>0.04</v>
      </c>
      <c r="L134">
        <v>204</v>
      </c>
      <c r="M134" t="str">
        <f t="shared" si="44"/>
        <v>201-250</v>
      </c>
      <c r="N134">
        <f t="shared" si="45"/>
        <v>0.17</v>
      </c>
      <c r="O134">
        <v>0</v>
      </c>
      <c r="P134">
        <f t="shared" si="46"/>
        <v>-0.02</v>
      </c>
      <c r="Q134">
        <v>2</v>
      </c>
      <c r="R134">
        <f t="shared" si="47"/>
        <v>0.33</v>
      </c>
      <c r="S134">
        <v>202</v>
      </c>
      <c r="T134" t="str">
        <f t="shared" si="48"/>
        <v>190+</v>
      </c>
      <c r="U134">
        <f t="shared" si="49"/>
        <v>2.11</v>
      </c>
      <c r="V134">
        <v>0</v>
      </c>
      <c r="W134">
        <f t="shared" si="50"/>
        <v>-0.64</v>
      </c>
      <c r="X134">
        <v>0</v>
      </c>
      <c r="Y134" t="str">
        <f t="shared" si="51"/>
        <v>0.1-1.5</v>
      </c>
      <c r="Z134">
        <f t="shared" si="52"/>
        <v>-0.48</v>
      </c>
      <c r="AA134">
        <v>0</v>
      </c>
      <c r="AB134">
        <f t="shared" si="53"/>
        <v>-0.91</v>
      </c>
      <c r="AC134">
        <v>0</v>
      </c>
      <c r="AD134">
        <f t="shared" si="54"/>
        <v>-0.87</v>
      </c>
      <c r="AE134">
        <v>1</v>
      </c>
      <c r="AF134">
        <f t="shared" si="55"/>
        <v>-1.06</v>
      </c>
      <c r="AG134">
        <v>0</v>
      </c>
      <c r="AH134" t="str">
        <f t="shared" si="56"/>
        <v>No</v>
      </c>
    </row>
    <row r="135" spans="1:34">
      <c r="A135">
        <v>134</v>
      </c>
      <c r="B135">
        <v>51</v>
      </c>
      <c r="C135" t="str">
        <f t="shared" si="38"/>
        <v>47-56</v>
      </c>
      <c r="D135">
        <f t="shared" si="39"/>
        <v>-0.28000000000000003</v>
      </c>
      <c r="E135">
        <v>1</v>
      </c>
      <c r="F135">
        <f t="shared" si="40"/>
        <v>0.38</v>
      </c>
      <c r="G135">
        <v>3</v>
      </c>
      <c r="H135">
        <f t="shared" si="41"/>
        <v>1.1599999999999999</v>
      </c>
      <c r="I135">
        <v>140</v>
      </c>
      <c r="J135" s="2" t="str">
        <f t="shared" si="42"/>
        <v>121-150</v>
      </c>
      <c r="K135" s="2">
        <f t="shared" si="43"/>
        <v>0.04</v>
      </c>
      <c r="L135">
        <v>261</v>
      </c>
      <c r="M135" t="str">
        <f t="shared" si="44"/>
        <v>251-300</v>
      </c>
      <c r="N135">
        <f t="shared" si="45"/>
        <v>0.48</v>
      </c>
      <c r="O135">
        <v>0</v>
      </c>
      <c r="P135">
        <f t="shared" si="46"/>
        <v>-0.02</v>
      </c>
      <c r="Q135">
        <v>2</v>
      </c>
      <c r="R135">
        <f t="shared" si="47"/>
        <v>0.33</v>
      </c>
      <c r="S135">
        <v>186</v>
      </c>
      <c r="T135" t="str">
        <f t="shared" si="48"/>
        <v>161-190</v>
      </c>
      <c r="U135">
        <f t="shared" si="49"/>
        <v>-1.01</v>
      </c>
      <c r="V135">
        <v>1</v>
      </c>
      <c r="W135">
        <f t="shared" si="50"/>
        <v>1.36</v>
      </c>
      <c r="X135">
        <v>0</v>
      </c>
      <c r="Y135" t="str">
        <f t="shared" si="51"/>
        <v>0.1-1.5</v>
      </c>
      <c r="Z135">
        <f t="shared" si="52"/>
        <v>-0.48</v>
      </c>
      <c r="AA135">
        <v>0</v>
      </c>
      <c r="AB135">
        <f t="shared" si="53"/>
        <v>-0.91</v>
      </c>
      <c r="AC135">
        <v>0</v>
      </c>
      <c r="AD135">
        <f t="shared" si="54"/>
        <v>-0.87</v>
      </c>
      <c r="AE135">
        <v>1</v>
      </c>
      <c r="AF135">
        <f t="shared" si="55"/>
        <v>-1.06</v>
      </c>
      <c r="AG135">
        <v>0</v>
      </c>
      <c r="AH135" t="str">
        <f t="shared" si="56"/>
        <v>No</v>
      </c>
    </row>
    <row r="136" spans="1:34">
      <c r="A136">
        <v>135</v>
      </c>
      <c r="B136">
        <v>43</v>
      </c>
      <c r="C136" t="str">
        <f t="shared" si="38"/>
        <v>37-46</v>
      </c>
      <c r="D136">
        <f t="shared" si="39"/>
        <v>-0.83</v>
      </c>
      <c r="E136">
        <v>0</v>
      </c>
      <c r="F136">
        <f t="shared" si="40"/>
        <v>-0.89</v>
      </c>
      <c r="G136">
        <v>2</v>
      </c>
      <c r="H136">
        <f t="shared" si="41"/>
        <v>-1.1599999999999999</v>
      </c>
      <c r="I136">
        <v>122</v>
      </c>
      <c r="J136" s="2" t="str">
        <f t="shared" si="42"/>
        <v>121-150</v>
      </c>
      <c r="K136" s="2">
        <f t="shared" si="43"/>
        <v>0.04</v>
      </c>
      <c r="L136">
        <v>213</v>
      </c>
      <c r="M136" t="str">
        <f t="shared" si="44"/>
        <v>201-250</v>
      </c>
      <c r="N136">
        <f t="shared" si="45"/>
        <v>0.17</v>
      </c>
      <c r="O136">
        <v>0</v>
      </c>
      <c r="P136">
        <f t="shared" si="46"/>
        <v>-0.02</v>
      </c>
      <c r="Q136">
        <v>0</v>
      </c>
      <c r="R136">
        <f t="shared" si="47"/>
        <v>-0.36</v>
      </c>
      <c r="S136">
        <v>165</v>
      </c>
      <c r="T136" t="str">
        <f t="shared" si="48"/>
        <v>161-190</v>
      </c>
      <c r="U136">
        <f t="shared" si="49"/>
        <v>-1.01</v>
      </c>
      <c r="V136">
        <v>0</v>
      </c>
      <c r="W136">
        <f t="shared" si="50"/>
        <v>-0.64</v>
      </c>
      <c r="X136">
        <v>0.2</v>
      </c>
      <c r="Y136" t="str">
        <f t="shared" si="51"/>
        <v>0.1-1.5</v>
      </c>
      <c r="Z136">
        <f t="shared" si="52"/>
        <v>-0.48</v>
      </c>
      <c r="AA136">
        <v>1</v>
      </c>
      <c r="AB136">
        <f t="shared" si="53"/>
        <v>0.78</v>
      </c>
      <c r="AC136">
        <v>0</v>
      </c>
      <c r="AD136">
        <f t="shared" si="54"/>
        <v>-0.87</v>
      </c>
      <c r="AE136">
        <v>1</v>
      </c>
      <c r="AF136">
        <f t="shared" si="55"/>
        <v>-1.06</v>
      </c>
      <c r="AG136">
        <v>0</v>
      </c>
      <c r="AH136" t="str">
        <f t="shared" si="56"/>
        <v>No</v>
      </c>
    </row>
    <row r="137" spans="1:34">
      <c r="A137">
        <v>136</v>
      </c>
      <c r="B137">
        <v>55</v>
      </c>
      <c r="C137" t="str">
        <f t="shared" si="38"/>
        <v>47-56</v>
      </c>
      <c r="D137">
        <f t="shared" si="39"/>
        <v>-0.28000000000000003</v>
      </c>
      <c r="E137">
        <v>0</v>
      </c>
      <c r="F137">
        <f t="shared" si="40"/>
        <v>-0.89</v>
      </c>
      <c r="G137">
        <v>1</v>
      </c>
      <c r="H137">
        <f t="shared" si="41"/>
        <v>-1.35</v>
      </c>
      <c r="I137">
        <v>135</v>
      </c>
      <c r="J137" s="2" t="str">
        <f t="shared" si="42"/>
        <v>121-150</v>
      </c>
      <c r="K137" s="2">
        <f t="shared" si="43"/>
        <v>0.04</v>
      </c>
      <c r="L137">
        <v>250</v>
      </c>
      <c r="M137" t="str">
        <f t="shared" si="44"/>
        <v>201-250</v>
      </c>
      <c r="N137">
        <f t="shared" si="45"/>
        <v>0.17</v>
      </c>
      <c r="O137">
        <v>0</v>
      </c>
      <c r="P137">
        <f t="shared" si="46"/>
        <v>-0.02</v>
      </c>
      <c r="Q137">
        <v>2</v>
      </c>
      <c r="R137">
        <f t="shared" si="47"/>
        <v>0.33</v>
      </c>
      <c r="S137">
        <v>161</v>
      </c>
      <c r="T137" t="str">
        <f t="shared" si="48"/>
        <v>161-190</v>
      </c>
      <c r="U137">
        <f t="shared" si="49"/>
        <v>-1.01</v>
      </c>
      <c r="V137">
        <v>0</v>
      </c>
      <c r="W137">
        <f t="shared" si="50"/>
        <v>-0.64</v>
      </c>
      <c r="X137">
        <v>1.4</v>
      </c>
      <c r="Y137" t="str">
        <f t="shared" si="51"/>
        <v>0.1-1.5</v>
      </c>
      <c r="Z137">
        <f t="shared" si="52"/>
        <v>-0.48</v>
      </c>
      <c r="AA137">
        <v>1</v>
      </c>
      <c r="AB137">
        <f t="shared" si="53"/>
        <v>0.78</v>
      </c>
      <c r="AC137">
        <v>0</v>
      </c>
      <c r="AD137">
        <f t="shared" si="54"/>
        <v>-0.87</v>
      </c>
      <c r="AE137">
        <v>1</v>
      </c>
      <c r="AF137">
        <f t="shared" si="55"/>
        <v>-1.06</v>
      </c>
      <c r="AG137">
        <v>0</v>
      </c>
      <c r="AH137" t="str">
        <f t="shared" si="56"/>
        <v>No</v>
      </c>
    </row>
    <row r="138" spans="1:34">
      <c r="A138">
        <v>137</v>
      </c>
      <c r="B138">
        <v>70</v>
      </c>
      <c r="C138" t="str">
        <f t="shared" si="38"/>
        <v>66+</v>
      </c>
      <c r="D138">
        <f t="shared" si="39"/>
        <v>0.17</v>
      </c>
      <c r="E138">
        <v>1</v>
      </c>
      <c r="F138">
        <f t="shared" si="40"/>
        <v>0.38</v>
      </c>
      <c r="G138">
        <v>3</v>
      </c>
      <c r="H138">
        <f t="shared" si="41"/>
        <v>1.1599999999999999</v>
      </c>
      <c r="I138">
        <v>145</v>
      </c>
      <c r="J138" s="2" t="str">
        <f t="shared" si="42"/>
        <v>121-150</v>
      </c>
      <c r="K138" s="2">
        <f t="shared" si="43"/>
        <v>0.04</v>
      </c>
      <c r="L138">
        <v>174</v>
      </c>
      <c r="M138" t="str">
        <f t="shared" si="44"/>
        <v>126-200</v>
      </c>
      <c r="N138">
        <f t="shared" si="45"/>
        <v>-0.16</v>
      </c>
      <c r="O138">
        <v>0</v>
      </c>
      <c r="P138">
        <f t="shared" si="46"/>
        <v>-0.02</v>
      </c>
      <c r="Q138">
        <v>0</v>
      </c>
      <c r="R138">
        <f t="shared" si="47"/>
        <v>-0.36</v>
      </c>
      <c r="S138">
        <v>125</v>
      </c>
      <c r="T138" t="str">
        <f t="shared" si="48"/>
        <v>101-130</v>
      </c>
      <c r="U138">
        <f t="shared" si="49"/>
        <v>1.1499999999999999</v>
      </c>
      <c r="V138">
        <v>1</v>
      </c>
      <c r="W138">
        <f t="shared" si="50"/>
        <v>1.36</v>
      </c>
      <c r="X138">
        <v>2.6</v>
      </c>
      <c r="Y138" t="str">
        <f t="shared" si="51"/>
        <v>1.6-2.8</v>
      </c>
      <c r="Z138">
        <f t="shared" si="52"/>
        <v>0.99</v>
      </c>
      <c r="AA138">
        <v>2</v>
      </c>
      <c r="AB138">
        <f t="shared" si="53"/>
        <v>0.45</v>
      </c>
      <c r="AC138">
        <v>0</v>
      </c>
      <c r="AD138">
        <f t="shared" si="54"/>
        <v>-0.87</v>
      </c>
      <c r="AE138">
        <v>3</v>
      </c>
      <c r="AF138">
        <f t="shared" si="55"/>
        <v>1.32</v>
      </c>
      <c r="AG138">
        <v>1</v>
      </c>
      <c r="AH138" t="str">
        <f t="shared" si="56"/>
        <v>Yes</v>
      </c>
    </row>
    <row r="139" spans="1:34">
      <c r="A139">
        <v>138</v>
      </c>
      <c r="B139">
        <v>62</v>
      </c>
      <c r="C139" t="str">
        <f t="shared" si="38"/>
        <v>57-66</v>
      </c>
      <c r="D139">
        <f t="shared" si="39"/>
        <v>0.64</v>
      </c>
      <c r="E139">
        <v>1</v>
      </c>
      <c r="F139">
        <f t="shared" si="40"/>
        <v>0.38</v>
      </c>
      <c r="G139">
        <v>1</v>
      </c>
      <c r="H139">
        <f t="shared" si="41"/>
        <v>-1.35</v>
      </c>
      <c r="I139">
        <v>120</v>
      </c>
      <c r="J139" s="2" t="str">
        <f t="shared" si="42"/>
        <v>94-120</v>
      </c>
      <c r="K139" s="2">
        <f t="shared" si="43"/>
        <v>-0.32</v>
      </c>
      <c r="L139">
        <v>281</v>
      </c>
      <c r="M139" t="str">
        <f t="shared" si="44"/>
        <v>251-300</v>
      </c>
      <c r="N139">
        <f t="shared" si="45"/>
        <v>0.48</v>
      </c>
      <c r="O139">
        <v>0</v>
      </c>
      <c r="P139">
        <f t="shared" si="46"/>
        <v>-0.02</v>
      </c>
      <c r="Q139">
        <v>2</v>
      </c>
      <c r="R139">
        <f t="shared" si="47"/>
        <v>0.33</v>
      </c>
      <c r="S139">
        <v>103</v>
      </c>
      <c r="T139" t="str">
        <f t="shared" si="48"/>
        <v>101-130</v>
      </c>
      <c r="U139">
        <f t="shared" si="49"/>
        <v>1.1499999999999999</v>
      </c>
      <c r="V139">
        <v>0</v>
      </c>
      <c r="W139">
        <f t="shared" si="50"/>
        <v>-0.64</v>
      </c>
      <c r="X139">
        <v>1.4</v>
      </c>
      <c r="Y139" t="str">
        <f t="shared" si="51"/>
        <v>0.1-1.5</v>
      </c>
      <c r="Z139">
        <f t="shared" si="52"/>
        <v>-0.48</v>
      </c>
      <c r="AA139">
        <v>1</v>
      </c>
      <c r="AB139">
        <f t="shared" si="53"/>
        <v>0.78</v>
      </c>
      <c r="AC139">
        <v>1</v>
      </c>
      <c r="AD139">
        <f t="shared" si="54"/>
        <v>0.91</v>
      </c>
      <c r="AE139">
        <v>3</v>
      </c>
      <c r="AF139">
        <f t="shared" si="55"/>
        <v>1.32</v>
      </c>
      <c r="AG139">
        <v>1</v>
      </c>
      <c r="AH139" t="str">
        <f t="shared" si="56"/>
        <v>Yes</v>
      </c>
    </row>
    <row r="140" spans="1:34">
      <c r="A140">
        <v>139</v>
      </c>
      <c r="B140">
        <v>35</v>
      </c>
      <c r="C140" t="str">
        <f t="shared" si="38"/>
        <v>27-36</v>
      </c>
      <c r="D140">
        <f t="shared" si="39"/>
        <v>-0.75</v>
      </c>
      <c r="E140">
        <v>1</v>
      </c>
      <c r="F140">
        <f t="shared" si="40"/>
        <v>0.38</v>
      </c>
      <c r="G140">
        <v>3</v>
      </c>
      <c r="H140">
        <f t="shared" si="41"/>
        <v>1.1599999999999999</v>
      </c>
      <c r="I140">
        <v>120</v>
      </c>
      <c r="J140" s="2" t="str">
        <f t="shared" si="42"/>
        <v>94-120</v>
      </c>
      <c r="K140" s="2">
        <f t="shared" si="43"/>
        <v>-0.32</v>
      </c>
      <c r="L140">
        <v>198</v>
      </c>
      <c r="M140" t="str">
        <f t="shared" si="44"/>
        <v>126-200</v>
      </c>
      <c r="N140">
        <f t="shared" si="45"/>
        <v>-0.16</v>
      </c>
      <c r="O140">
        <v>0</v>
      </c>
      <c r="P140">
        <f t="shared" si="46"/>
        <v>-0.02</v>
      </c>
      <c r="Q140">
        <v>0</v>
      </c>
      <c r="R140">
        <f t="shared" si="47"/>
        <v>-0.36</v>
      </c>
      <c r="S140">
        <v>130</v>
      </c>
      <c r="T140" t="str">
        <f t="shared" si="48"/>
        <v>101-130</v>
      </c>
      <c r="U140">
        <f t="shared" si="49"/>
        <v>1.1499999999999999</v>
      </c>
      <c r="V140">
        <v>1</v>
      </c>
      <c r="W140">
        <f t="shared" si="50"/>
        <v>1.36</v>
      </c>
      <c r="X140">
        <v>1.6</v>
      </c>
      <c r="Y140" t="str">
        <f t="shared" si="51"/>
        <v>1.6-2.8</v>
      </c>
      <c r="Z140">
        <f t="shared" si="52"/>
        <v>0.99</v>
      </c>
      <c r="AA140">
        <v>1</v>
      </c>
      <c r="AB140">
        <f t="shared" si="53"/>
        <v>0.78</v>
      </c>
      <c r="AC140">
        <v>0</v>
      </c>
      <c r="AD140">
        <f t="shared" si="54"/>
        <v>-0.87</v>
      </c>
      <c r="AE140">
        <v>3</v>
      </c>
      <c r="AF140">
        <f t="shared" si="55"/>
        <v>1.32</v>
      </c>
      <c r="AG140">
        <v>1</v>
      </c>
      <c r="AH140" t="str">
        <f t="shared" si="56"/>
        <v>Yes</v>
      </c>
    </row>
    <row r="141" spans="1:34">
      <c r="A141">
        <v>140</v>
      </c>
      <c r="B141">
        <v>51</v>
      </c>
      <c r="C141" t="str">
        <f t="shared" si="38"/>
        <v>47-56</v>
      </c>
      <c r="D141">
        <f t="shared" si="39"/>
        <v>-0.28000000000000003</v>
      </c>
      <c r="E141">
        <v>1</v>
      </c>
      <c r="F141">
        <f t="shared" si="40"/>
        <v>0.38</v>
      </c>
      <c r="G141">
        <v>2</v>
      </c>
      <c r="H141">
        <f t="shared" si="41"/>
        <v>-1.1599999999999999</v>
      </c>
      <c r="I141">
        <v>125</v>
      </c>
      <c r="J141" s="2" t="str">
        <f t="shared" si="42"/>
        <v>121-150</v>
      </c>
      <c r="K141" s="2">
        <f t="shared" si="43"/>
        <v>0.04</v>
      </c>
      <c r="L141">
        <v>245</v>
      </c>
      <c r="M141" t="str">
        <f t="shared" si="44"/>
        <v>201-250</v>
      </c>
      <c r="N141">
        <f t="shared" si="45"/>
        <v>0.17</v>
      </c>
      <c r="O141">
        <v>1</v>
      </c>
      <c r="P141">
        <f t="shared" si="46"/>
        <v>0.12</v>
      </c>
      <c r="Q141">
        <v>2</v>
      </c>
      <c r="R141">
        <f t="shared" si="47"/>
        <v>0.33</v>
      </c>
      <c r="S141">
        <v>166</v>
      </c>
      <c r="T141" t="str">
        <f t="shared" si="48"/>
        <v>161-190</v>
      </c>
      <c r="U141">
        <f t="shared" si="49"/>
        <v>-1.01</v>
      </c>
      <c r="V141">
        <v>0</v>
      </c>
      <c r="W141">
        <f t="shared" si="50"/>
        <v>-0.64</v>
      </c>
      <c r="X141">
        <v>2.4</v>
      </c>
      <c r="Y141" t="str">
        <f t="shared" si="51"/>
        <v>1.6-2.8</v>
      </c>
      <c r="Z141">
        <f t="shared" si="52"/>
        <v>0.99</v>
      </c>
      <c r="AA141">
        <v>1</v>
      </c>
      <c r="AB141">
        <f t="shared" si="53"/>
        <v>0.78</v>
      </c>
      <c r="AC141">
        <v>0</v>
      </c>
      <c r="AD141">
        <f t="shared" si="54"/>
        <v>-0.87</v>
      </c>
      <c r="AE141">
        <v>1</v>
      </c>
      <c r="AF141">
        <f t="shared" si="55"/>
        <v>-1.06</v>
      </c>
      <c r="AG141">
        <v>0</v>
      </c>
      <c r="AH141" t="str">
        <f t="shared" si="56"/>
        <v>No</v>
      </c>
    </row>
    <row r="142" spans="1:34">
      <c r="A142">
        <v>141</v>
      </c>
      <c r="B142">
        <v>59</v>
      </c>
      <c r="C142" t="str">
        <f t="shared" si="38"/>
        <v>57-66</v>
      </c>
      <c r="D142">
        <f t="shared" si="39"/>
        <v>0.64</v>
      </c>
      <c r="E142">
        <v>1</v>
      </c>
      <c r="F142">
        <f t="shared" si="40"/>
        <v>0.38</v>
      </c>
      <c r="G142">
        <v>1</v>
      </c>
      <c r="H142">
        <f t="shared" si="41"/>
        <v>-1.35</v>
      </c>
      <c r="I142">
        <v>140</v>
      </c>
      <c r="J142" s="2" t="str">
        <f t="shared" si="42"/>
        <v>121-150</v>
      </c>
      <c r="K142" s="2">
        <f t="shared" si="43"/>
        <v>0.04</v>
      </c>
      <c r="L142">
        <v>221</v>
      </c>
      <c r="M142" t="str">
        <f t="shared" si="44"/>
        <v>201-250</v>
      </c>
      <c r="N142">
        <f t="shared" si="45"/>
        <v>0.17</v>
      </c>
      <c r="O142">
        <v>0</v>
      </c>
      <c r="P142">
        <f t="shared" si="46"/>
        <v>-0.02</v>
      </c>
      <c r="Q142">
        <v>0</v>
      </c>
      <c r="R142">
        <f t="shared" si="47"/>
        <v>-0.36</v>
      </c>
      <c r="S142">
        <v>164</v>
      </c>
      <c r="T142" t="str">
        <f t="shared" si="48"/>
        <v>161-190</v>
      </c>
      <c r="U142">
        <f t="shared" si="49"/>
        <v>-1.01</v>
      </c>
      <c r="V142">
        <v>1</v>
      </c>
      <c r="W142">
        <f t="shared" si="50"/>
        <v>1.36</v>
      </c>
      <c r="X142">
        <v>0</v>
      </c>
      <c r="Y142" t="str">
        <f t="shared" si="51"/>
        <v>0.1-1.5</v>
      </c>
      <c r="Z142">
        <f t="shared" si="52"/>
        <v>-0.48</v>
      </c>
      <c r="AA142">
        <v>0</v>
      </c>
      <c r="AB142">
        <f t="shared" si="53"/>
        <v>-0.91</v>
      </c>
      <c r="AC142">
        <v>0</v>
      </c>
      <c r="AD142">
        <f t="shared" si="54"/>
        <v>-0.87</v>
      </c>
      <c r="AE142">
        <v>1</v>
      </c>
      <c r="AF142">
        <f t="shared" si="55"/>
        <v>-1.06</v>
      </c>
      <c r="AG142">
        <v>0</v>
      </c>
      <c r="AH142" t="str">
        <f t="shared" si="56"/>
        <v>No</v>
      </c>
    </row>
    <row r="143" spans="1:34">
      <c r="A143">
        <v>142</v>
      </c>
      <c r="B143">
        <v>59</v>
      </c>
      <c r="C143" t="str">
        <f t="shared" si="38"/>
        <v>57-66</v>
      </c>
      <c r="D143">
        <f t="shared" si="39"/>
        <v>0.64</v>
      </c>
      <c r="E143">
        <v>1</v>
      </c>
      <c r="F143">
        <f t="shared" si="40"/>
        <v>0.38</v>
      </c>
      <c r="G143">
        <v>0</v>
      </c>
      <c r="H143">
        <f t="shared" si="41"/>
        <v>-0.66</v>
      </c>
      <c r="I143">
        <v>170</v>
      </c>
      <c r="J143" s="2" t="str">
        <f t="shared" si="42"/>
        <v>151-180</v>
      </c>
      <c r="K143" s="2">
        <f t="shared" si="43"/>
        <v>0.56999999999999995</v>
      </c>
      <c r="L143">
        <v>288</v>
      </c>
      <c r="M143" t="str">
        <f t="shared" si="44"/>
        <v>251-300</v>
      </c>
      <c r="N143">
        <f t="shared" si="45"/>
        <v>0.48</v>
      </c>
      <c r="O143">
        <v>0</v>
      </c>
      <c r="P143">
        <f t="shared" si="46"/>
        <v>-0.02</v>
      </c>
      <c r="Q143">
        <v>2</v>
      </c>
      <c r="R143">
        <f t="shared" si="47"/>
        <v>0.33</v>
      </c>
      <c r="S143">
        <v>159</v>
      </c>
      <c r="T143" t="str">
        <f t="shared" si="48"/>
        <v>131-160</v>
      </c>
      <c r="U143">
        <f t="shared" si="49"/>
        <v>0.2</v>
      </c>
      <c r="V143">
        <v>0</v>
      </c>
      <c r="W143">
        <f t="shared" si="50"/>
        <v>-0.64</v>
      </c>
      <c r="X143">
        <v>0.2</v>
      </c>
      <c r="Y143" t="str">
        <f t="shared" si="51"/>
        <v>0.1-1.5</v>
      </c>
      <c r="Z143">
        <f t="shared" si="52"/>
        <v>-0.48</v>
      </c>
      <c r="AA143">
        <v>1</v>
      </c>
      <c r="AB143">
        <f t="shared" si="53"/>
        <v>0.78</v>
      </c>
      <c r="AC143">
        <v>0</v>
      </c>
      <c r="AD143">
        <f t="shared" si="54"/>
        <v>-0.87</v>
      </c>
      <c r="AE143">
        <v>3</v>
      </c>
      <c r="AF143">
        <f t="shared" si="55"/>
        <v>1.32</v>
      </c>
      <c r="AG143">
        <v>1</v>
      </c>
      <c r="AH143" t="str">
        <f t="shared" si="56"/>
        <v>Yes</v>
      </c>
    </row>
    <row r="144" spans="1:34">
      <c r="A144">
        <v>143</v>
      </c>
      <c r="B144">
        <v>52</v>
      </c>
      <c r="C144" t="str">
        <f t="shared" si="38"/>
        <v>47-56</v>
      </c>
      <c r="D144">
        <f t="shared" si="39"/>
        <v>-0.28000000000000003</v>
      </c>
      <c r="E144">
        <v>1</v>
      </c>
      <c r="F144">
        <f t="shared" si="40"/>
        <v>0.38</v>
      </c>
      <c r="G144">
        <v>1</v>
      </c>
      <c r="H144">
        <f t="shared" si="41"/>
        <v>-1.35</v>
      </c>
      <c r="I144">
        <v>128</v>
      </c>
      <c r="J144" s="2" t="str">
        <f t="shared" si="42"/>
        <v>121-150</v>
      </c>
      <c r="K144" s="2">
        <f t="shared" si="43"/>
        <v>0.04</v>
      </c>
      <c r="L144">
        <v>205</v>
      </c>
      <c r="M144" t="str">
        <f t="shared" si="44"/>
        <v>201-250</v>
      </c>
      <c r="N144">
        <f t="shared" si="45"/>
        <v>0.17</v>
      </c>
      <c r="O144">
        <v>1</v>
      </c>
      <c r="P144">
        <f t="shared" si="46"/>
        <v>0.12</v>
      </c>
      <c r="Q144">
        <v>0</v>
      </c>
      <c r="R144">
        <f t="shared" si="47"/>
        <v>-0.36</v>
      </c>
      <c r="S144">
        <v>184</v>
      </c>
      <c r="T144" t="str">
        <f t="shared" si="48"/>
        <v>161-190</v>
      </c>
      <c r="U144">
        <f t="shared" si="49"/>
        <v>-1.01</v>
      </c>
      <c r="V144">
        <v>0</v>
      </c>
      <c r="W144">
        <f t="shared" si="50"/>
        <v>-0.64</v>
      </c>
      <c r="X144">
        <v>0</v>
      </c>
      <c r="Y144" t="str">
        <f t="shared" si="51"/>
        <v>0.1-1.5</v>
      </c>
      <c r="Z144">
        <f t="shared" si="52"/>
        <v>-0.48</v>
      </c>
      <c r="AA144">
        <v>0</v>
      </c>
      <c r="AB144">
        <f t="shared" si="53"/>
        <v>-0.91</v>
      </c>
      <c r="AC144">
        <v>0</v>
      </c>
      <c r="AD144">
        <f t="shared" si="54"/>
        <v>-0.87</v>
      </c>
      <c r="AE144">
        <v>1</v>
      </c>
      <c r="AF144">
        <f t="shared" si="55"/>
        <v>-1.06</v>
      </c>
      <c r="AG144">
        <v>0</v>
      </c>
      <c r="AH144" t="str">
        <f t="shared" si="56"/>
        <v>No</v>
      </c>
    </row>
    <row r="145" spans="1:34">
      <c r="A145">
        <v>144</v>
      </c>
      <c r="B145">
        <v>64</v>
      </c>
      <c r="C145" t="str">
        <f t="shared" si="38"/>
        <v>57-66</v>
      </c>
      <c r="D145">
        <f t="shared" si="39"/>
        <v>0.64</v>
      </c>
      <c r="E145">
        <v>1</v>
      </c>
      <c r="F145">
        <f t="shared" si="40"/>
        <v>0.38</v>
      </c>
      <c r="G145">
        <v>2</v>
      </c>
      <c r="H145">
        <f t="shared" si="41"/>
        <v>-1.1599999999999999</v>
      </c>
      <c r="I145">
        <v>125</v>
      </c>
      <c r="J145" s="2" t="str">
        <f t="shared" si="42"/>
        <v>121-150</v>
      </c>
      <c r="K145" s="2">
        <f t="shared" si="43"/>
        <v>0.04</v>
      </c>
      <c r="L145">
        <v>309</v>
      </c>
      <c r="M145" t="str">
        <f t="shared" si="44"/>
        <v>351-400</v>
      </c>
      <c r="N145">
        <f t="shared" si="45"/>
        <v>0.17</v>
      </c>
      <c r="O145">
        <v>0</v>
      </c>
      <c r="P145">
        <f t="shared" si="46"/>
        <v>-0.02</v>
      </c>
      <c r="Q145">
        <v>0</v>
      </c>
      <c r="R145">
        <f t="shared" si="47"/>
        <v>-0.36</v>
      </c>
      <c r="S145">
        <v>131</v>
      </c>
      <c r="T145" t="str">
        <f t="shared" si="48"/>
        <v>131-160</v>
      </c>
      <c r="U145">
        <f t="shared" si="49"/>
        <v>0.2</v>
      </c>
      <c r="V145">
        <v>1</v>
      </c>
      <c r="W145">
        <f t="shared" si="50"/>
        <v>1.36</v>
      </c>
      <c r="X145">
        <v>1.8</v>
      </c>
      <c r="Y145" t="str">
        <f t="shared" si="51"/>
        <v>1.6-2.8</v>
      </c>
      <c r="Z145">
        <f t="shared" si="52"/>
        <v>0.99</v>
      </c>
      <c r="AA145">
        <v>1</v>
      </c>
      <c r="AB145">
        <f t="shared" si="53"/>
        <v>0.78</v>
      </c>
      <c r="AC145">
        <v>0</v>
      </c>
      <c r="AD145">
        <f t="shared" si="54"/>
        <v>-0.87</v>
      </c>
      <c r="AE145">
        <v>3</v>
      </c>
      <c r="AF145">
        <f t="shared" si="55"/>
        <v>1.32</v>
      </c>
      <c r="AG145">
        <v>1</v>
      </c>
      <c r="AH145" t="str">
        <f t="shared" si="56"/>
        <v>Yes</v>
      </c>
    </row>
    <row r="146" spans="1:34">
      <c r="A146">
        <v>145</v>
      </c>
      <c r="B146">
        <v>58</v>
      </c>
      <c r="C146" t="str">
        <f t="shared" si="38"/>
        <v>57-66</v>
      </c>
      <c r="D146">
        <f t="shared" si="39"/>
        <v>0.64</v>
      </c>
      <c r="E146">
        <v>1</v>
      </c>
      <c r="F146">
        <f t="shared" si="40"/>
        <v>0.38</v>
      </c>
      <c r="G146">
        <v>2</v>
      </c>
      <c r="H146">
        <f t="shared" si="41"/>
        <v>-1.1599999999999999</v>
      </c>
      <c r="I146">
        <v>105</v>
      </c>
      <c r="J146" s="2" t="str">
        <f t="shared" si="42"/>
        <v>94-120</v>
      </c>
      <c r="K146" s="2">
        <f t="shared" si="43"/>
        <v>-0.32</v>
      </c>
      <c r="L146">
        <v>240</v>
      </c>
      <c r="M146" t="str">
        <f t="shared" si="44"/>
        <v>201-250</v>
      </c>
      <c r="N146">
        <f t="shared" si="45"/>
        <v>0.17</v>
      </c>
      <c r="O146">
        <v>0</v>
      </c>
      <c r="P146">
        <f t="shared" si="46"/>
        <v>-0.02</v>
      </c>
      <c r="Q146">
        <v>2</v>
      </c>
      <c r="R146">
        <f t="shared" si="47"/>
        <v>0.33</v>
      </c>
      <c r="S146">
        <v>154</v>
      </c>
      <c r="T146" t="str">
        <f t="shared" si="48"/>
        <v>131-160</v>
      </c>
      <c r="U146">
        <f t="shared" si="49"/>
        <v>0.2</v>
      </c>
      <c r="V146">
        <v>1</v>
      </c>
      <c r="W146">
        <f t="shared" si="50"/>
        <v>1.36</v>
      </c>
      <c r="X146">
        <v>0.6</v>
      </c>
      <c r="Y146" t="str">
        <f t="shared" si="51"/>
        <v>0.1-1.5</v>
      </c>
      <c r="Z146">
        <f t="shared" si="52"/>
        <v>-0.48</v>
      </c>
      <c r="AA146">
        <v>1</v>
      </c>
      <c r="AB146">
        <f t="shared" si="53"/>
        <v>0.78</v>
      </c>
      <c r="AC146">
        <v>0</v>
      </c>
      <c r="AD146">
        <f t="shared" si="54"/>
        <v>-0.87</v>
      </c>
      <c r="AE146">
        <v>3</v>
      </c>
      <c r="AF146">
        <f t="shared" si="55"/>
        <v>1.32</v>
      </c>
      <c r="AG146">
        <v>0</v>
      </c>
      <c r="AH146" t="str">
        <f t="shared" si="56"/>
        <v>No</v>
      </c>
    </row>
    <row r="147" spans="1:34">
      <c r="A147">
        <v>146</v>
      </c>
      <c r="B147">
        <v>47</v>
      </c>
      <c r="C147" t="str">
        <f t="shared" si="38"/>
        <v>47-56</v>
      </c>
      <c r="D147">
        <f t="shared" si="39"/>
        <v>-0.28000000000000003</v>
      </c>
      <c r="E147">
        <v>1</v>
      </c>
      <c r="F147">
        <f t="shared" si="40"/>
        <v>0.38</v>
      </c>
      <c r="G147">
        <v>2</v>
      </c>
      <c r="H147">
        <f t="shared" si="41"/>
        <v>-1.1599999999999999</v>
      </c>
      <c r="I147">
        <v>108</v>
      </c>
      <c r="J147" s="2" t="str">
        <f t="shared" si="42"/>
        <v>94-120</v>
      </c>
      <c r="K147" s="2">
        <f t="shared" si="43"/>
        <v>-0.32</v>
      </c>
      <c r="L147">
        <v>243</v>
      </c>
      <c r="M147" t="str">
        <f t="shared" si="44"/>
        <v>201-250</v>
      </c>
      <c r="N147">
        <f t="shared" si="45"/>
        <v>0.17</v>
      </c>
      <c r="O147">
        <v>0</v>
      </c>
      <c r="P147">
        <f t="shared" si="46"/>
        <v>-0.02</v>
      </c>
      <c r="Q147">
        <v>0</v>
      </c>
      <c r="R147">
        <f t="shared" si="47"/>
        <v>-0.36</v>
      </c>
      <c r="S147">
        <v>152</v>
      </c>
      <c r="T147" t="str">
        <f t="shared" si="48"/>
        <v>131-160</v>
      </c>
      <c r="U147">
        <f t="shared" si="49"/>
        <v>0.2</v>
      </c>
      <c r="V147">
        <v>0</v>
      </c>
      <c r="W147">
        <f t="shared" si="50"/>
        <v>-0.64</v>
      </c>
      <c r="X147">
        <v>0</v>
      </c>
      <c r="Y147" t="str">
        <f t="shared" si="51"/>
        <v>0.1-1.5</v>
      </c>
      <c r="Z147">
        <f t="shared" si="52"/>
        <v>-0.48</v>
      </c>
      <c r="AA147">
        <v>0</v>
      </c>
      <c r="AB147">
        <f t="shared" si="53"/>
        <v>-0.91</v>
      </c>
      <c r="AC147">
        <v>0</v>
      </c>
      <c r="AD147">
        <f t="shared" si="54"/>
        <v>-0.87</v>
      </c>
      <c r="AE147">
        <v>1</v>
      </c>
      <c r="AF147">
        <f t="shared" si="55"/>
        <v>-1.06</v>
      </c>
      <c r="AG147">
        <v>1</v>
      </c>
      <c r="AH147" t="str">
        <f t="shared" si="56"/>
        <v>Yes</v>
      </c>
    </row>
    <row r="148" spans="1:34">
      <c r="A148">
        <v>147</v>
      </c>
      <c r="B148">
        <v>57</v>
      </c>
      <c r="C148" t="str">
        <f t="shared" si="38"/>
        <v>57-66</v>
      </c>
      <c r="D148">
        <f t="shared" si="39"/>
        <v>0.64</v>
      </c>
      <c r="E148">
        <v>1</v>
      </c>
      <c r="F148">
        <f t="shared" si="40"/>
        <v>0.38</v>
      </c>
      <c r="G148">
        <v>3</v>
      </c>
      <c r="H148">
        <f t="shared" si="41"/>
        <v>1.1599999999999999</v>
      </c>
      <c r="I148">
        <v>165</v>
      </c>
      <c r="J148" s="2" t="str">
        <f t="shared" si="42"/>
        <v>151-180</v>
      </c>
      <c r="K148" s="2">
        <f t="shared" si="43"/>
        <v>0.56999999999999995</v>
      </c>
      <c r="L148">
        <v>289</v>
      </c>
      <c r="M148" t="str">
        <f t="shared" si="44"/>
        <v>251-300</v>
      </c>
      <c r="N148">
        <f t="shared" si="45"/>
        <v>0.48</v>
      </c>
      <c r="O148">
        <v>1</v>
      </c>
      <c r="P148">
        <f t="shared" si="46"/>
        <v>0.12</v>
      </c>
      <c r="Q148">
        <v>2</v>
      </c>
      <c r="R148">
        <f t="shared" si="47"/>
        <v>0.33</v>
      </c>
      <c r="S148">
        <v>124</v>
      </c>
      <c r="T148" t="str">
        <f t="shared" si="48"/>
        <v>101-130</v>
      </c>
      <c r="U148">
        <f t="shared" si="49"/>
        <v>1.1499999999999999</v>
      </c>
      <c r="V148">
        <v>0</v>
      </c>
      <c r="W148">
        <f t="shared" si="50"/>
        <v>-0.64</v>
      </c>
      <c r="X148">
        <v>1</v>
      </c>
      <c r="Y148" t="str">
        <f t="shared" si="51"/>
        <v>0.1-1.5</v>
      </c>
      <c r="Z148">
        <f t="shared" si="52"/>
        <v>-0.48</v>
      </c>
      <c r="AA148">
        <v>1</v>
      </c>
      <c r="AB148">
        <f t="shared" si="53"/>
        <v>0.78</v>
      </c>
      <c r="AC148">
        <v>3</v>
      </c>
      <c r="AD148">
        <f t="shared" si="54"/>
        <v>1.9</v>
      </c>
      <c r="AE148">
        <v>3</v>
      </c>
      <c r="AF148">
        <f t="shared" si="55"/>
        <v>1.32</v>
      </c>
      <c r="AG148">
        <v>1</v>
      </c>
      <c r="AH148" t="str">
        <f t="shared" si="56"/>
        <v>Yes</v>
      </c>
    </row>
    <row r="149" spans="1:34">
      <c r="A149">
        <v>148</v>
      </c>
      <c r="B149">
        <v>41</v>
      </c>
      <c r="C149" t="str">
        <f t="shared" si="38"/>
        <v>37-46</v>
      </c>
      <c r="D149">
        <f t="shared" si="39"/>
        <v>-0.83</v>
      </c>
      <c r="E149">
        <v>1</v>
      </c>
      <c r="F149">
        <f t="shared" si="40"/>
        <v>0.38</v>
      </c>
      <c r="G149">
        <v>2</v>
      </c>
      <c r="H149">
        <f t="shared" si="41"/>
        <v>-1.1599999999999999</v>
      </c>
      <c r="I149">
        <v>112</v>
      </c>
      <c r="J149" s="2" t="str">
        <f t="shared" si="42"/>
        <v>94-120</v>
      </c>
      <c r="K149" s="2">
        <f t="shared" si="43"/>
        <v>-0.32</v>
      </c>
      <c r="L149">
        <v>250</v>
      </c>
      <c r="M149" t="str">
        <f t="shared" si="44"/>
        <v>201-250</v>
      </c>
      <c r="N149">
        <f t="shared" si="45"/>
        <v>0.17</v>
      </c>
      <c r="O149">
        <v>0</v>
      </c>
      <c r="P149">
        <f t="shared" si="46"/>
        <v>-0.02</v>
      </c>
      <c r="Q149">
        <v>0</v>
      </c>
      <c r="R149">
        <f t="shared" si="47"/>
        <v>-0.36</v>
      </c>
      <c r="S149">
        <v>179</v>
      </c>
      <c r="T149" t="str">
        <f t="shared" si="48"/>
        <v>161-190</v>
      </c>
      <c r="U149">
        <f t="shared" si="49"/>
        <v>-1.01</v>
      </c>
      <c r="V149">
        <v>0</v>
      </c>
      <c r="W149">
        <f t="shared" si="50"/>
        <v>-0.64</v>
      </c>
      <c r="X149">
        <v>0</v>
      </c>
      <c r="Y149" t="str">
        <f t="shared" si="51"/>
        <v>0.1-1.5</v>
      </c>
      <c r="Z149">
        <f t="shared" si="52"/>
        <v>-0.48</v>
      </c>
      <c r="AA149">
        <v>0</v>
      </c>
      <c r="AB149">
        <f t="shared" si="53"/>
        <v>-0.91</v>
      </c>
      <c r="AC149">
        <v>0</v>
      </c>
      <c r="AD149">
        <f t="shared" si="54"/>
        <v>-0.87</v>
      </c>
      <c r="AE149">
        <v>1</v>
      </c>
      <c r="AF149">
        <f t="shared" si="55"/>
        <v>-1.06</v>
      </c>
      <c r="AG149">
        <v>0</v>
      </c>
      <c r="AH149" t="str">
        <f t="shared" si="56"/>
        <v>No</v>
      </c>
    </row>
    <row r="150" spans="1:34">
      <c r="A150">
        <v>149</v>
      </c>
      <c r="B150">
        <v>45</v>
      </c>
      <c r="C150" t="str">
        <f t="shared" si="38"/>
        <v>37-46</v>
      </c>
      <c r="D150">
        <f t="shared" si="39"/>
        <v>-0.83</v>
      </c>
      <c r="E150">
        <v>1</v>
      </c>
      <c r="F150">
        <f t="shared" si="40"/>
        <v>0.38</v>
      </c>
      <c r="G150">
        <v>1</v>
      </c>
      <c r="H150">
        <f t="shared" si="41"/>
        <v>-1.35</v>
      </c>
      <c r="I150">
        <v>128</v>
      </c>
      <c r="J150" s="2" t="str">
        <f t="shared" si="42"/>
        <v>121-150</v>
      </c>
      <c r="K150" s="2">
        <f t="shared" si="43"/>
        <v>0.04</v>
      </c>
      <c r="L150">
        <v>308</v>
      </c>
      <c r="M150" t="str">
        <f t="shared" si="44"/>
        <v>351-400</v>
      </c>
      <c r="N150">
        <f t="shared" si="45"/>
        <v>0.17</v>
      </c>
      <c r="O150">
        <v>0</v>
      </c>
      <c r="P150">
        <f t="shared" si="46"/>
        <v>-0.02</v>
      </c>
      <c r="Q150">
        <v>2</v>
      </c>
      <c r="R150">
        <f t="shared" si="47"/>
        <v>0.33</v>
      </c>
      <c r="S150">
        <v>170</v>
      </c>
      <c r="T150" t="str">
        <f t="shared" si="48"/>
        <v>161-190</v>
      </c>
      <c r="U150">
        <f t="shared" si="49"/>
        <v>-1.01</v>
      </c>
      <c r="V150">
        <v>0</v>
      </c>
      <c r="W150">
        <f t="shared" si="50"/>
        <v>-0.64</v>
      </c>
      <c r="X150">
        <v>0</v>
      </c>
      <c r="Y150" t="str">
        <f t="shared" si="51"/>
        <v>0.1-1.5</v>
      </c>
      <c r="Z150">
        <f t="shared" si="52"/>
        <v>-0.48</v>
      </c>
      <c r="AA150">
        <v>0</v>
      </c>
      <c r="AB150">
        <f t="shared" si="53"/>
        <v>-0.91</v>
      </c>
      <c r="AC150">
        <v>0</v>
      </c>
      <c r="AD150">
        <f t="shared" si="54"/>
        <v>-0.87</v>
      </c>
      <c r="AE150">
        <v>1</v>
      </c>
      <c r="AF150">
        <f t="shared" si="55"/>
        <v>-1.06</v>
      </c>
      <c r="AG150">
        <v>0</v>
      </c>
      <c r="AH150" t="str">
        <f t="shared" si="56"/>
        <v>No</v>
      </c>
    </row>
    <row r="151" spans="1:34">
      <c r="A151">
        <v>150</v>
      </c>
      <c r="B151">
        <v>60</v>
      </c>
      <c r="C151" t="str">
        <f t="shared" si="38"/>
        <v>57-66</v>
      </c>
      <c r="D151">
        <f t="shared" si="39"/>
        <v>0.64</v>
      </c>
      <c r="E151">
        <v>0</v>
      </c>
      <c r="F151">
        <f t="shared" si="40"/>
        <v>-0.89</v>
      </c>
      <c r="G151">
        <v>2</v>
      </c>
      <c r="H151">
        <f t="shared" si="41"/>
        <v>-1.1599999999999999</v>
      </c>
      <c r="I151">
        <v>102</v>
      </c>
      <c r="J151" s="2" t="str">
        <f t="shared" si="42"/>
        <v>94-120</v>
      </c>
      <c r="K151" s="2">
        <f t="shared" si="43"/>
        <v>-0.32</v>
      </c>
      <c r="L151">
        <v>318</v>
      </c>
      <c r="M151" t="str">
        <f t="shared" si="44"/>
        <v>351-400</v>
      </c>
      <c r="N151">
        <f t="shared" si="45"/>
        <v>0.17</v>
      </c>
      <c r="O151">
        <v>0</v>
      </c>
      <c r="P151">
        <f t="shared" si="46"/>
        <v>-0.02</v>
      </c>
      <c r="Q151">
        <v>0</v>
      </c>
      <c r="R151">
        <f t="shared" si="47"/>
        <v>-0.36</v>
      </c>
      <c r="S151">
        <v>160</v>
      </c>
      <c r="T151" t="str">
        <f t="shared" si="48"/>
        <v>131-160</v>
      </c>
      <c r="U151">
        <f t="shared" si="49"/>
        <v>0.2</v>
      </c>
      <c r="V151">
        <v>0</v>
      </c>
      <c r="W151">
        <f t="shared" si="50"/>
        <v>-0.64</v>
      </c>
      <c r="X151">
        <v>0</v>
      </c>
      <c r="Y151" t="str">
        <f t="shared" si="51"/>
        <v>0.1-1.5</v>
      </c>
      <c r="Z151">
        <f t="shared" si="52"/>
        <v>-0.48</v>
      </c>
      <c r="AA151">
        <v>0</v>
      </c>
      <c r="AB151">
        <f t="shared" si="53"/>
        <v>-0.91</v>
      </c>
      <c r="AC151">
        <v>1</v>
      </c>
      <c r="AD151">
        <f t="shared" si="54"/>
        <v>0.91</v>
      </c>
      <c r="AE151">
        <v>1</v>
      </c>
      <c r="AF151">
        <f t="shared" si="55"/>
        <v>-1.06</v>
      </c>
      <c r="AG151">
        <v>0</v>
      </c>
      <c r="AH151" t="str">
        <f t="shared" si="56"/>
        <v>No</v>
      </c>
    </row>
    <row r="152" spans="1:34">
      <c r="A152">
        <v>151</v>
      </c>
      <c r="B152">
        <v>52</v>
      </c>
      <c r="C152" t="str">
        <f t="shared" si="38"/>
        <v>47-56</v>
      </c>
      <c r="D152">
        <f t="shared" si="39"/>
        <v>-0.28000000000000003</v>
      </c>
      <c r="E152">
        <v>1</v>
      </c>
      <c r="F152">
        <f t="shared" si="40"/>
        <v>0.38</v>
      </c>
      <c r="G152">
        <v>0</v>
      </c>
      <c r="H152">
        <f t="shared" si="41"/>
        <v>-0.66</v>
      </c>
      <c r="I152">
        <v>152</v>
      </c>
      <c r="J152" s="2" t="str">
        <f t="shared" si="42"/>
        <v>151-180</v>
      </c>
      <c r="K152" s="2">
        <f t="shared" si="43"/>
        <v>0.56999999999999995</v>
      </c>
      <c r="L152">
        <v>298</v>
      </c>
      <c r="M152" t="str">
        <f t="shared" si="44"/>
        <v>251-300</v>
      </c>
      <c r="N152">
        <f t="shared" si="45"/>
        <v>0.48</v>
      </c>
      <c r="O152">
        <v>1</v>
      </c>
      <c r="P152">
        <f t="shared" si="46"/>
        <v>0.12</v>
      </c>
      <c r="Q152">
        <v>0</v>
      </c>
      <c r="R152">
        <f t="shared" si="47"/>
        <v>-0.36</v>
      </c>
      <c r="S152">
        <v>178</v>
      </c>
      <c r="T152" t="str">
        <f t="shared" si="48"/>
        <v>161-190</v>
      </c>
      <c r="U152">
        <f t="shared" si="49"/>
        <v>-1.01</v>
      </c>
      <c r="V152">
        <v>0</v>
      </c>
      <c r="W152">
        <f t="shared" si="50"/>
        <v>-0.64</v>
      </c>
      <c r="X152">
        <v>1.2</v>
      </c>
      <c r="Y152" t="str">
        <f t="shared" si="51"/>
        <v>0.1-1.5</v>
      </c>
      <c r="Z152">
        <f t="shared" si="52"/>
        <v>-0.48</v>
      </c>
      <c r="AA152">
        <v>1</v>
      </c>
      <c r="AB152">
        <f t="shared" si="53"/>
        <v>0.78</v>
      </c>
      <c r="AC152">
        <v>0</v>
      </c>
      <c r="AD152">
        <f t="shared" si="54"/>
        <v>-0.87</v>
      </c>
      <c r="AE152">
        <v>3</v>
      </c>
      <c r="AF152">
        <f t="shared" si="55"/>
        <v>1.32</v>
      </c>
      <c r="AG152">
        <v>0</v>
      </c>
      <c r="AH152" t="str">
        <f t="shared" si="56"/>
        <v>No</v>
      </c>
    </row>
    <row r="153" spans="1:34">
      <c r="A153">
        <v>152</v>
      </c>
      <c r="B153">
        <v>42</v>
      </c>
      <c r="C153" t="str">
        <f t="shared" si="38"/>
        <v>37-46</v>
      </c>
      <c r="D153">
        <f t="shared" si="39"/>
        <v>-0.83</v>
      </c>
      <c r="E153">
        <v>0</v>
      </c>
      <c r="F153">
        <f t="shared" si="40"/>
        <v>-0.89</v>
      </c>
      <c r="G153">
        <v>3</v>
      </c>
      <c r="H153">
        <f t="shared" si="41"/>
        <v>1.1599999999999999</v>
      </c>
      <c r="I153">
        <v>102</v>
      </c>
      <c r="J153" s="2" t="str">
        <f t="shared" si="42"/>
        <v>94-120</v>
      </c>
      <c r="K153" s="2">
        <f t="shared" si="43"/>
        <v>-0.32</v>
      </c>
      <c r="L153">
        <v>265</v>
      </c>
      <c r="M153" t="str">
        <f t="shared" si="44"/>
        <v>251-300</v>
      </c>
      <c r="N153">
        <f t="shared" si="45"/>
        <v>0.48</v>
      </c>
      <c r="O153">
        <v>0</v>
      </c>
      <c r="P153">
        <f t="shared" si="46"/>
        <v>-0.02</v>
      </c>
      <c r="Q153">
        <v>2</v>
      </c>
      <c r="R153">
        <f t="shared" si="47"/>
        <v>0.33</v>
      </c>
      <c r="S153">
        <v>122</v>
      </c>
      <c r="T153" t="str">
        <f t="shared" si="48"/>
        <v>101-130</v>
      </c>
      <c r="U153">
        <f t="shared" si="49"/>
        <v>1.1499999999999999</v>
      </c>
      <c r="V153">
        <v>0</v>
      </c>
      <c r="W153">
        <f t="shared" si="50"/>
        <v>-0.64</v>
      </c>
      <c r="X153">
        <v>0.6</v>
      </c>
      <c r="Y153" t="str">
        <f t="shared" si="51"/>
        <v>0.1-1.5</v>
      </c>
      <c r="Z153">
        <f t="shared" si="52"/>
        <v>-0.48</v>
      </c>
      <c r="AA153">
        <v>1</v>
      </c>
      <c r="AB153">
        <f t="shared" si="53"/>
        <v>0.78</v>
      </c>
      <c r="AC153">
        <v>0</v>
      </c>
      <c r="AD153">
        <f t="shared" si="54"/>
        <v>-0.87</v>
      </c>
      <c r="AE153">
        <v>1</v>
      </c>
      <c r="AF153">
        <f t="shared" si="55"/>
        <v>-1.06</v>
      </c>
      <c r="AG153">
        <v>0</v>
      </c>
      <c r="AH153" t="str">
        <f t="shared" si="56"/>
        <v>No</v>
      </c>
    </row>
    <row r="154" spans="1:34">
      <c r="A154">
        <v>153</v>
      </c>
      <c r="B154">
        <v>67</v>
      </c>
      <c r="C154" t="str">
        <f t="shared" si="38"/>
        <v>66+</v>
      </c>
      <c r="D154">
        <f t="shared" si="39"/>
        <v>0.17</v>
      </c>
      <c r="E154">
        <v>0</v>
      </c>
      <c r="F154">
        <f t="shared" si="40"/>
        <v>-0.89</v>
      </c>
      <c r="G154">
        <v>2</v>
      </c>
      <c r="H154">
        <f t="shared" si="41"/>
        <v>-1.1599999999999999</v>
      </c>
      <c r="I154">
        <v>115</v>
      </c>
      <c r="J154" s="2" t="str">
        <f t="shared" si="42"/>
        <v>94-120</v>
      </c>
      <c r="K154" s="2">
        <f t="shared" si="43"/>
        <v>-0.32</v>
      </c>
      <c r="L154">
        <v>564</v>
      </c>
      <c r="M154" t="str">
        <f t="shared" si="44"/>
        <v>400+</v>
      </c>
      <c r="N154">
        <f t="shared" si="45"/>
        <v>-0.35</v>
      </c>
      <c r="O154">
        <v>0</v>
      </c>
      <c r="P154">
        <f t="shared" si="46"/>
        <v>-0.02</v>
      </c>
      <c r="Q154">
        <v>2</v>
      </c>
      <c r="R154">
        <f t="shared" si="47"/>
        <v>0.33</v>
      </c>
      <c r="S154">
        <v>160</v>
      </c>
      <c r="T154" t="str">
        <f t="shared" si="48"/>
        <v>131-160</v>
      </c>
      <c r="U154">
        <f t="shared" si="49"/>
        <v>0.2</v>
      </c>
      <c r="V154">
        <v>0</v>
      </c>
      <c r="W154">
        <f t="shared" si="50"/>
        <v>-0.64</v>
      </c>
      <c r="X154">
        <v>1.6</v>
      </c>
      <c r="Y154" t="str">
        <f t="shared" si="51"/>
        <v>1.6-2.8</v>
      </c>
      <c r="Z154">
        <f t="shared" si="52"/>
        <v>0.99</v>
      </c>
      <c r="AA154">
        <v>1</v>
      </c>
      <c r="AB154">
        <f t="shared" si="53"/>
        <v>0.78</v>
      </c>
      <c r="AC154">
        <v>0</v>
      </c>
      <c r="AD154">
        <f t="shared" si="54"/>
        <v>-0.87</v>
      </c>
      <c r="AE154">
        <v>3</v>
      </c>
      <c r="AF154">
        <f t="shared" si="55"/>
        <v>1.32</v>
      </c>
      <c r="AG154">
        <v>0</v>
      </c>
      <c r="AH154" t="str">
        <f t="shared" si="56"/>
        <v>No</v>
      </c>
    </row>
    <row r="155" spans="1:34">
      <c r="A155">
        <v>154</v>
      </c>
      <c r="B155">
        <v>55</v>
      </c>
      <c r="C155" t="str">
        <f t="shared" si="38"/>
        <v>47-56</v>
      </c>
      <c r="D155">
        <f t="shared" si="39"/>
        <v>-0.28000000000000003</v>
      </c>
      <c r="E155">
        <v>1</v>
      </c>
      <c r="F155">
        <f t="shared" si="40"/>
        <v>0.38</v>
      </c>
      <c r="G155">
        <v>3</v>
      </c>
      <c r="H155">
        <f t="shared" si="41"/>
        <v>1.1599999999999999</v>
      </c>
      <c r="I155">
        <v>160</v>
      </c>
      <c r="J155" s="2" t="str">
        <f t="shared" si="42"/>
        <v>151-180</v>
      </c>
      <c r="K155" s="2">
        <f t="shared" si="43"/>
        <v>0.56999999999999995</v>
      </c>
      <c r="L155">
        <v>289</v>
      </c>
      <c r="M155" t="str">
        <f t="shared" si="44"/>
        <v>251-300</v>
      </c>
      <c r="N155">
        <f t="shared" si="45"/>
        <v>0.48</v>
      </c>
      <c r="O155">
        <v>0</v>
      </c>
      <c r="P155">
        <f t="shared" si="46"/>
        <v>-0.02</v>
      </c>
      <c r="Q155">
        <v>2</v>
      </c>
      <c r="R155">
        <f t="shared" si="47"/>
        <v>0.33</v>
      </c>
      <c r="S155">
        <v>145</v>
      </c>
      <c r="T155" t="str">
        <f t="shared" si="48"/>
        <v>131-160</v>
      </c>
      <c r="U155">
        <f t="shared" si="49"/>
        <v>0.2</v>
      </c>
      <c r="V155">
        <v>1</v>
      </c>
      <c r="W155">
        <f t="shared" si="50"/>
        <v>1.36</v>
      </c>
      <c r="X155">
        <v>0.8</v>
      </c>
      <c r="Y155" t="str">
        <f t="shared" si="51"/>
        <v>0.1-1.5</v>
      </c>
      <c r="Z155">
        <f t="shared" si="52"/>
        <v>-0.48</v>
      </c>
      <c r="AA155">
        <v>1</v>
      </c>
      <c r="AB155">
        <f t="shared" si="53"/>
        <v>0.78</v>
      </c>
      <c r="AC155">
        <v>1</v>
      </c>
      <c r="AD155">
        <f t="shared" si="54"/>
        <v>0.91</v>
      </c>
      <c r="AE155">
        <v>3</v>
      </c>
      <c r="AF155">
        <f t="shared" si="55"/>
        <v>1.32</v>
      </c>
      <c r="AG155">
        <v>1</v>
      </c>
      <c r="AH155" t="str">
        <f t="shared" si="56"/>
        <v>Yes</v>
      </c>
    </row>
    <row r="156" spans="1:34">
      <c r="A156">
        <v>155</v>
      </c>
      <c r="B156">
        <v>64</v>
      </c>
      <c r="C156" t="str">
        <f t="shared" si="38"/>
        <v>57-66</v>
      </c>
      <c r="D156">
        <f t="shared" si="39"/>
        <v>0.64</v>
      </c>
      <c r="E156">
        <v>1</v>
      </c>
      <c r="F156">
        <f t="shared" si="40"/>
        <v>0.38</v>
      </c>
      <c r="G156">
        <v>3</v>
      </c>
      <c r="H156">
        <f t="shared" si="41"/>
        <v>1.1599999999999999</v>
      </c>
      <c r="I156">
        <v>120</v>
      </c>
      <c r="J156" s="2" t="str">
        <f t="shared" si="42"/>
        <v>94-120</v>
      </c>
      <c r="K156" s="2">
        <f t="shared" si="43"/>
        <v>-0.32</v>
      </c>
      <c r="L156">
        <v>246</v>
      </c>
      <c r="M156" t="str">
        <f t="shared" si="44"/>
        <v>201-250</v>
      </c>
      <c r="N156">
        <f t="shared" si="45"/>
        <v>0.17</v>
      </c>
      <c r="O156">
        <v>0</v>
      </c>
      <c r="P156">
        <f t="shared" si="46"/>
        <v>-0.02</v>
      </c>
      <c r="Q156">
        <v>2</v>
      </c>
      <c r="R156">
        <f t="shared" si="47"/>
        <v>0.33</v>
      </c>
      <c r="S156">
        <v>96</v>
      </c>
      <c r="T156" t="str">
        <f t="shared" si="48"/>
        <v>71-100</v>
      </c>
      <c r="U156">
        <f t="shared" si="49"/>
        <v>2.11</v>
      </c>
      <c r="V156">
        <v>1</v>
      </c>
      <c r="W156">
        <f t="shared" si="50"/>
        <v>1.36</v>
      </c>
      <c r="X156">
        <v>2.2000000000000002</v>
      </c>
      <c r="Y156" t="str">
        <f t="shared" si="51"/>
        <v>1.6-2.8</v>
      </c>
      <c r="Z156">
        <f t="shared" si="52"/>
        <v>0.99</v>
      </c>
      <c r="AA156">
        <v>2</v>
      </c>
      <c r="AB156">
        <f t="shared" si="53"/>
        <v>0.45</v>
      </c>
      <c r="AC156">
        <v>1</v>
      </c>
      <c r="AD156">
        <f t="shared" si="54"/>
        <v>0.91</v>
      </c>
      <c r="AE156">
        <v>1</v>
      </c>
      <c r="AF156">
        <f t="shared" si="55"/>
        <v>-1.06</v>
      </c>
      <c r="AG156">
        <v>1</v>
      </c>
      <c r="AH156" t="str">
        <f t="shared" si="56"/>
        <v>Yes</v>
      </c>
    </row>
    <row r="157" spans="1:34">
      <c r="A157">
        <v>156</v>
      </c>
      <c r="B157">
        <v>70</v>
      </c>
      <c r="C157" t="str">
        <f t="shared" si="38"/>
        <v>66+</v>
      </c>
      <c r="D157">
        <f t="shared" si="39"/>
        <v>0.17</v>
      </c>
      <c r="E157">
        <v>1</v>
      </c>
      <c r="F157">
        <f t="shared" si="40"/>
        <v>0.38</v>
      </c>
      <c r="G157">
        <v>3</v>
      </c>
      <c r="H157">
        <f t="shared" si="41"/>
        <v>1.1599999999999999</v>
      </c>
      <c r="I157">
        <v>130</v>
      </c>
      <c r="J157" s="2" t="str">
        <f t="shared" si="42"/>
        <v>121-150</v>
      </c>
      <c r="K157" s="2">
        <f t="shared" si="43"/>
        <v>0.04</v>
      </c>
      <c r="L157">
        <v>322</v>
      </c>
      <c r="M157" t="str">
        <f t="shared" si="44"/>
        <v>351-400</v>
      </c>
      <c r="N157">
        <f t="shared" si="45"/>
        <v>0.17</v>
      </c>
      <c r="O157">
        <v>0</v>
      </c>
      <c r="P157">
        <f t="shared" si="46"/>
        <v>-0.02</v>
      </c>
      <c r="Q157">
        <v>2</v>
      </c>
      <c r="R157">
        <f t="shared" si="47"/>
        <v>0.33</v>
      </c>
      <c r="S157">
        <v>109</v>
      </c>
      <c r="T157" t="str">
        <f t="shared" si="48"/>
        <v>101-130</v>
      </c>
      <c r="U157">
        <f t="shared" si="49"/>
        <v>1.1499999999999999</v>
      </c>
      <c r="V157">
        <v>0</v>
      </c>
      <c r="W157">
        <f t="shared" si="50"/>
        <v>-0.64</v>
      </c>
      <c r="X157">
        <v>2.4</v>
      </c>
      <c r="Y157" t="str">
        <f t="shared" si="51"/>
        <v>1.6-2.8</v>
      </c>
      <c r="Z157">
        <f t="shared" si="52"/>
        <v>0.99</v>
      </c>
      <c r="AA157">
        <v>1</v>
      </c>
      <c r="AB157">
        <f t="shared" si="53"/>
        <v>0.78</v>
      </c>
      <c r="AC157">
        <v>3</v>
      </c>
      <c r="AD157">
        <f t="shared" si="54"/>
        <v>1.9</v>
      </c>
      <c r="AE157">
        <v>1</v>
      </c>
      <c r="AF157">
        <f t="shared" si="55"/>
        <v>-1.06</v>
      </c>
      <c r="AG157">
        <v>1</v>
      </c>
      <c r="AH157" t="str">
        <f t="shared" si="56"/>
        <v>Yes</v>
      </c>
    </row>
    <row r="158" spans="1:34">
      <c r="A158">
        <v>157</v>
      </c>
      <c r="B158">
        <v>51</v>
      </c>
      <c r="C158" t="str">
        <f t="shared" si="38"/>
        <v>47-56</v>
      </c>
      <c r="D158">
        <f t="shared" si="39"/>
        <v>-0.28000000000000003</v>
      </c>
      <c r="E158">
        <v>1</v>
      </c>
      <c r="F158">
        <f t="shared" si="40"/>
        <v>0.38</v>
      </c>
      <c r="G158">
        <v>3</v>
      </c>
      <c r="H158">
        <f t="shared" si="41"/>
        <v>1.1599999999999999</v>
      </c>
      <c r="I158">
        <v>140</v>
      </c>
      <c r="J158" s="2" t="str">
        <f t="shared" si="42"/>
        <v>121-150</v>
      </c>
      <c r="K158" s="2">
        <f t="shared" si="43"/>
        <v>0.04</v>
      </c>
      <c r="L158">
        <v>299</v>
      </c>
      <c r="M158" t="str">
        <f t="shared" si="44"/>
        <v>251-300</v>
      </c>
      <c r="N158">
        <f t="shared" si="45"/>
        <v>0.48</v>
      </c>
      <c r="O158">
        <v>0</v>
      </c>
      <c r="P158">
        <f t="shared" si="46"/>
        <v>-0.02</v>
      </c>
      <c r="Q158">
        <v>0</v>
      </c>
      <c r="R158">
        <f t="shared" si="47"/>
        <v>-0.36</v>
      </c>
      <c r="S158">
        <v>173</v>
      </c>
      <c r="T158" t="str">
        <f t="shared" si="48"/>
        <v>161-190</v>
      </c>
      <c r="U158">
        <f t="shared" si="49"/>
        <v>-1.01</v>
      </c>
      <c r="V158">
        <v>1</v>
      </c>
      <c r="W158">
        <f t="shared" si="50"/>
        <v>1.36</v>
      </c>
      <c r="X158">
        <v>1.6</v>
      </c>
      <c r="Y158" t="str">
        <f t="shared" si="51"/>
        <v>1.6-2.8</v>
      </c>
      <c r="Z158">
        <f t="shared" si="52"/>
        <v>0.99</v>
      </c>
      <c r="AA158">
        <v>0</v>
      </c>
      <c r="AB158">
        <f t="shared" si="53"/>
        <v>-0.91</v>
      </c>
      <c r="AC158">
        <v>0</v>
      </c>
      <c r="AD158">
        <f t="shared" si="54"/>
        <v>-0.87</v>
      </c>
      <c r="AE158">
        <v>3</v>
      </c>
      <c r="AF158">
        <f t="shared" si="55"/>
        <v>1.32</v>
      </c>
      <c r="AG158">
        <v>1</v>
      </c>
      <c r="AH158" t="str">
        <f t="shared" si="56"/>
        <v>Yes</v>
      </c>
    </row>
    <row r="159" spans="1:34">
      <c r="A159">
        <v>158</v>
      </c>
      <c r="B159">
        <v>58</v>
      </c>
      <c r="C159" t="str">
        <f t="shared" si="38"/>
        <v>57-66</v>
      </c>
      <c r="D159">
        <f t="shared" si="39"/>
        <v>0.64</v>
      </c>
      <c r="E159">
        <v>1</v>
      </c>
      <c r="F159">
        <f t="shared" si="40"/>
        <v>0.38</v>
      </c>
      <c r="G159">
        <v>3</v>
      </c>
      <c r="H159">
        <f t="shared" si="41"/>
        <v>1.1599999999999999</v>
      </c>
      <c r="I159">
        <v>125</v>
      </c>
      <c r="J159" s="2" t="str">
        <f t="shared" si="42"/>
        <v>121-150</v>
      </c>
      <c r="K159" s="2">
        <f t="shared" si="43"/>
        <v>0.04</v>
      </c>
      <c r="L159">
        <v>300</v>
      </c>
      <c r="M159" t="str">
        <f t="shared" si="44"/>
        <v>251-300</v>
      </c>
      <c r="N159">
        <f t="shared" si="45"/>
        <v>0.48</v>
      </c>
      <c r="O159">
        <v>0</v>
      </c>
      <c r="P159">
        <f t="shared" si="46"/>
        <v>-0.02</v>
      </c>
      <c r="Q159">
        <v>2</v>
      </c>
      <c r="R159">
        <f t="shared" si="47"/>
        <v>0.33</v>
      </c>
      <c r="S159">
        <v>171</v>
      </c>
      <c r="T159" t="str">
        <f t="shared" si="48"/>
        <v>161-190</v>
      </c>
      <c r="U159">
        <f t="shared" si="49"/>
        <v>-1.01</v>
      </c>
      <c r="V159">
        <v>0</v>
      </c>
      <c r="W159">
        <f t="shared" si="50"/>
        <v>-0.64</v>
      </c>
      <c r="X159">
        <v>0</v>
      </c>
      <c r="Y159" t="str">
        <f t="shared" si="51"/>
        <v>0.1-1.5</v>
      </c>
      <c r="Z159">
        <f t="shared" si="52"/>
        <v>-0.48</v>
      </c>
      <c r="AA159">
        <v>0</v>
      </c>
      <c r="AB159">
        <f t="shared" si="53"/>
        <v>-0.91</v>
      </c>
      <c r="AC159">
        <v>2</v>
      </c>
      <c r="AD159">
        <f t="shared" si="54"/>
        <v>1.65</v>
      </c>
      <c r="AE159">
        <v>3</v>
      </c>
      <c r="AF159">
        <f t="shared" si="55"/>
        <v>1.32</v>
      </c>
      <c r="AG159">
        <v>1</v>
      </c>
      <c r="AH159" t="str">
        <f t="shared" si="56"/>
        <v>Yes</v>
      </c>
    </row>
    <row r="160" spans="1:34">
      <c r="A160">
        <v>159</v>
      </c>
      <c r="B160">
        <v>60</v>
      </c>
      <c r="C160" t="str">
        <f t="shared" si="38"/>
        <v>57-66</v>
      </c>
      <c r="D160">
        <f t="shared" si="39"/>
        <v>0.64</v>
      </c>
      <c r="E160">
        <v>1</v>
      </c>
      <c r="F160">
        <f t="shared" si="40"/>
        <v>0.38</v>
      </c>
      <c r="G160">
        <v>3</v>
      </c>
      <c r="H160">
        <f t="shared" si="41"/>
        <v>1.1599999999999999</v>
      </c>
      <c r="I160">
        <v>140</v>
      </c>
      <c r="J160" s="2" t="str">
        <f t="shared" si="42"/>
        <v>121-150</v>
      </c>
      <c r="K160" s="2">
        <f t="shared" si="43"/>
        <v>0.04</v>
      </c>
      <c r="L160">
        <v>293</v>
      </c>
      <c r="M160" t="str">
        <f t="shared" si="44"/>
        <v>251-300</v>
      </c>
      <c r="N160">
        <f t="shared" si="45"/>
        <v>0.48</v>
      </c>
      <c r="O160">
        <v>0</v>
      </c>
      <c r="P160">
        <f t="shared" si="46"/>
        <v>-0.02</v>
      </c>
      <c r="Q160">
        <v>2</v>
      </c>
      <c r="R160">
        <f t="shared" si="47"/>
        <v>0.33</v>
      </c>
      <c r="S160">
        <v>170</v>
      </c>
      <c r="T160" t="str">
        <f t="shared" si="48"/>
        <v>161-190</v>
      </c>
      <c r="U160">
        <f t="shared" si="49"/>
        <v>-1.01</v>
      </c>
      <c r="V160">
        <v>0</v>
      </c>
      <c r="W160">
        <f t="shared" si="50"/>
        <v>-0.64</v>
      </c>
      <c r="X160">
        <v>1.2</v>
      </c>
      <c r="Y160" t="str">
        <f t="shared" si="51"/>
        <v>0.1-1.5</v>
      </c>
      <c r="Z160">
        <f t="shared" si="52"/>
        <v>-0.48</v>
      </c>
      <c r="AA160">
        <v>1</v>
      </c>
      <c r="AB160">
        <f t="shared" si="53"/>
        <v>0.78</v>
      </c>
      <c r="AC160">
        <v>2</v>
      </c>
      <c r="AD160">
        <f t="shared" si="54"/>
        <v>1.65</v>
      </c>
      <c r="AE160">
        <v>3</v>
      </c>
      <c r="AF160">
        <f t="shared" si="55"/>
        <v>1.32</v>
      </c>
      <c r="AG160">
        <v>1</v>
      </c>
      <c r="AH160" t="str">
        <f t="shared" si="56"/>
        <v>Yes</v>
      </c>
    </row>
    <row r="161" spans="1:34">
      <c r="A161">
        <v>160</v>
      </c>
      <c r="B161">
        <v>68</v>
      </c>
      <c r="C161" t="str">
        <f t="shared" si="38"/>
        <v>66+</v>
      </c>
      <c r="D161">
        <f t="shared" si="39"/>
        <v>0.17</v>
      </c>
      <c r="E161">
        <v>1</v>
      </c>
      <c r="F161">
        <f t="shared" si="40"/>
        <v>0.38</v>
      </c>
      <c r="G161">
        <v>2</v>
      </c>
      <c r="H161">
        <f t="shared" si="41"/>
        <v>-1.1599999999999999</v>
      </c>
      <c r="I161">
        <v>118</v>
      </c>
      <c r="J161" s="2" t="str">
        <f t="shared" si="42"/>
        <v>94-120</v>
      </c>
      <c r="K161" s="2">
        <f t="shared" si="43"/>
        <v>-0.32</v>
      </c>
      <c r="L161">
        <v>277</v>
      </c>
      <c r="M161" t="str">
        <f t="shared" si="44"/>
        <v>251-300</v>
      </c>
      <c r="N161">
        <f t="shared" si="45"/>
        <v>0.48</v>
      </c>
      <c r="O161">
        <v>0</v>
      </c>
      <c r="P161">
        <f t="shared" si="46"/>
        <v>-0.02</v>
      </c>
      <c r="Q161">
        <v>0</v>
      </c>
      <c r="R161">
        <f t="shared" si="47"/>
        <v>-0.36</v>
      </c>
      <c r="S161">
        <v>151</v>
      </c>
      <c r="T161" t="str">
        <f t="shared" si="48"/>
        <v>131-160</v>
      </c>
      <c r="U161">
        <f t="shared" si="49"/>
        <v>0.2</v>
      </c>
      <c r="V161">
        <v>0</v>
      </c>
      <c r="W161">
        <f t="shared" si="50"/>
        <v>-0.64</v>
      </c>
      <c r="X161">
        <v>1</v>
      </c>
      <c r="Y161" t="str">
        <f t="shared" si="51"/>
        <v>0.1-1.5</v>
      </c>
      <c r="Z161">
        <f t="shared" si="52"/>
        <v>-0.48</v>
      </c>
      <c r="AA161">
        <v>0</v>
      </c>
      <c r="AB161">
        <f t="shared" si="53"/>
        <v>-0.91</v>
      </c>
      <c r="AC161">
        <v>1</v>
      </c>
      <c r="AD161">
        <f t="shared" si="54"/>
        <v>0.91</v>
      </c>
      <c r="AE161">
        <v>3</v>
      </c>
      <c r="AF161">
        <f t="shared" si="55"/>
        <v>1.32</v>
      </c>
      <c r="AG161">
        <v>0</v>
      </c>
      <c r="AH161" t="str">
        <f t="shared" si="56"/>
        <v>No</v>
      </c>
    </row>
    <row r="162" spans="1:34">
      <c r="A162">
        <v>161</v>
      </c>
      <c r="B162">
        <v>46</v>
      </c>
      <c r="C162" t="str">
        <f t="shared" si="38"/>
        <v>37-46</v>
      </c>
      <c r="D162">
        <f t="shared" si="39"/>
        <v>-0.83</v>
      </c>
      <c r="E162">
        <v>1</v>
      </c>
      <c r="F162">
        <f t="shared" si="40"/>
        <v>0.38</v>
      </c>
      <c r="G162">
        <v>1</v>
      </c>
      <c r="H162">
        <f t="shared" si="41"/>
        <v>-1.35</v>
      </c>
      <c r="I162">
        <v>101</v>
      </c>
      <c r="J162" s="2" t="str">
        <f t="shared" si="42"/>
        <v>94-120</v>
      </c>
      <c r="K162" s="2">
        <f t="shared" si="43"/>
        <v>-0.32</v>
      </c>
      <c r="L162">
        <v>197</v>
      </c>
      <c r="M162" t="str">
        <f t="shared" si="44"/>
        <v>126-200</v>
      </c>
      <c r="N162">
        <f t="shared" si="45"/>
        <v>-0.16</v>
      </c>
      <c r="O162">
        <v>1</v>
      </c>
      <c r="P162">
        <f t="shared" si="46"/>
        <v>0.12</v>
      </c>
      <c r="Q162">
        <v>0</v>
      </c>
      <c r="R162">
        <f t="shared" si="47"/>
        <v>-0.36</v>
      </c>
      <c r="S162">
        <v>156</v>
      </c>
      <c r="T162" t="str">
        <f t="shared" si="48"/>
        <v>131-160</v>
      </c>
      <c r="U162">
        <f t="shared" si="49"/>
        <v>0.2</v>
      </c>
      <c r="V162">
        <v>0</v>
      </c>
      <c r="W162">
        <f t="shared" si="50"/>
        <v>-0.64</v>
      </c>
      <c r="X162">
        <v>0</v>
      </c>
      <c r="Y162" t="str">
        <f t="shared" si="51"/>
        <v>0.1-1.5</v>
      </c>
      <c r="Z162">
        <f t="shared" si="52"/>
        <v>-0.48</v>
      </c>
      <c r="AA162">
        <v>0</v>
      </c>
      <c r="AB162">
        <f t="shared" si="53"/>
        <v>-0.91</v>
      </c>
      <c r="AC162">
        <v>0</v>
      </c>
      <c r="AD162">
        <f t="shared" si="54"/>
        <v>-0.87</v>
      </c>
      <c r="AE162">
        <v>3</v>
      </c>
      <c r="AF162">
        <f t="shared" si="55"/>
        <v>1.32</v>
      </c>
      <c r="AG162">
        <v>0</v>
      </c>
      <c r="AH162" t="str">
        <f t="shared" si="56"/>
        <v>No</v>
      </c>
    </row>
    <row r="163" spans="1:34">
      <c r="A163">
        <v>162</v>
      </c>
      <c r="B163">
        <v>77</v>
      </c>
      <c r="C163" t="str">
        <f t="shared" si="38"/>
        <v>66+</v>
      </c>
      <c r="D163">
        <f t="shared" si="39"/>
        <v>0.17</v>
      </c>
      <c r="E163">
        <v>1</v>
      </c>
      <c r="F163">
        <f t="shared" si="40"/>
        <v>0.38</v>
      </c>
      <c r="G163">
        <v>3</v>
      </c>
      <c r="H163">
        <f t="shared" si="41"/>
        <v>1.1599999999999999</v>
      </c>
      <c r="I163">
        <v>125</v>
      </c>
      <c r="J163" s="2" t="str">
        <f t="shared" si="42"/>
        <v>121-150</v>
      </c>
      <c r="K163" s="2">
        <f t="shared" si="43"/>
        <v>0.04</v>
      </c>
      <c r="L163">
        <v>304</v>
      </c>
      <c r="M163" t="str">
        <f t="shared" si="44"/>
        <v>351-400</v>
      </c>
      <c r="N163">
        <f t="shared" si="45"/>
        <v>0.17</v>
      </c>
      <c r="O163">
        <v>0</v>
      </c>
      <c r="P163">
        <f t="shared" si="46"/>
        <v>-0.02</v>
      </c>
      <c r="Q163">
        <v>2</v>
      </c>
      <c r="R163">
        <f t="shared" si="47"/>
        <v>0.33</v>
      </c>
      <c r="S163">
        <v>162</v>
      </c>
      <c r="T163" t="str">
        <f t="shared" si="48"/>
        <v>161-190</v>
      </c>
      <c r="U163">
        <f t="shared" si="49"/>
        <v>-1.01</v>
      </c>
      <c r="V163">
        <v>1</v>
      </c>
      <c r="W163">
        <f t="shared" si="50"/>
        <v>1.36</v>
      </c>
      <c r="X163">
        <v>0</v>
      </c>
      <c r="Y163" t="str">
        <f t="shared" si="51"/>
        <v>0.1-1.5</v>
      </c>
      <c r="Z163">
        <f t="shared" si="52"/>
        <v>-0.48</v>
      </c>
      <c r="AA163">
        <v>0</v>
      </c>
      <c r="AB163">
        <f t="shared" si="53"/>
        <v>-0.91</v>
      </c>
      <c r="AC163">
        <v>3</v>
      </c>
      <c r="AD163">
        <f t="shared" si="54"/>
        <v>1.9</v>
      </c>
      <c r="AE163">
        <v>1</v>
      </c>
      <c r="AF163">
        <f t="shared" si="55"/>
        <v>-1.06</v>
      </c>
      <c r="AG163">
        <v>1</v>
      </c>
      <c r="AH163" t="str">
        <f t="shared" si="56"/>
        <v>Yes</v>
      </c>
    </row>
    <row r="164" spans="1:34">
      <c r="A164">
        <v>163</v>
      </c>
      <c r="B164">
        <v>54</v>
      </c>
      <c r="C164" t="str">
        <f t="shared" si="38"/>
        <v>47-56</v>
      </c>
      <c r="D164">
        <f t="shared" si="39"/>
        <v>-0.28000000000000003</v>
      </c>
      <c r="E164">
        <v>0</v>
      </c>
      <c r="F164">
        <f t="shared" si="40"/>
        <v>-0.89</v>
      </c>
      <c r="G164">
        <v>2</v>
      </c>
      <c r="H164">
        <f t="shared" si="41"/>
        <v>-1.1599999999999999</v>
      </c>
      <c r="I164">
        <v>110</v>
      </c>
      <c r="J164" s="2" t="str">
        <f t="shared" si="42"/>
        <v>94-120</v>
      </c>
      <c r="K164" s="2">
        <f t="shared" si="43"/>
        <v>-0.32</v>
      </c>
      <c r="L164">
        <v>214</v>
      </c>
      <c r="M164" t="str">
        <f t="shared" si="44"/>
        <v>201-250</v>
      </c>
      <c r="N164">
        <f t="shared" si="45"/>
        <v>0.17</v>
      </c>
      <c r="O164">
        <v>0</v>
      </c>
      <c r="P164">
        <f t="shared" si="46"/>
        <v>-0.02</v>
      </c>
      <c r="Q164">
        <v>0</v>
      </c>
      <c r="R164">
        <f t="shared" si="47"/>
        <v>-0.36</v>
      </c>
      <c r="S164">
        <v>158</v>
      </c>
      <c r="T164" t="str">
        <f t="shared" si="48"/>
        <v>131-160</v>
      </c>
      <c r="U164">
        <f t="shared" si="49"/>
        <v>0.2</v>
      </c>
      <c r="V164">
        <v>0</v>
      </c>
      <c r="W164">
        <f t="shared" si="50"/>
        <v>-0.64</v>
      </c>
      <c r="X164">
        <v>1.6</v>
      </c>
      <c r="Y164" t="str">
        <f t="shared" si="51"/>
        <v>1.6-2.8</v>
      </c>
      <c r="Z164">
        <f t="shared" si="52"/>
        <v>0.99</v>
      </c>
      <c r="AA164">
        <v>1</v>
      </c>
      <c r="AB164">
        <f t="shared" si="53"/>
        <v>0.78</v>
      </c>
      <c r="AC164">
        <v>0</v>
      </c>
      <c r="AD164">
        <f t="shared" si="54"/>
        <v>-0.87</v>
      </c>
      <c r="AE164">
        <v>1</v>
      </c>
      <c r="AF164">
        <f t="shared" si="55"/>
        <v>-1.06</v>
      </c>
      <c r="AG164">
        <v>0</v>
      </c>
      <c r="AH164" t="str">
        <f t="shared" si="56"/>
        <v>No</v>
      </c>
    </row>
    <row r="165" spans="1:34">
      <c r="A165">
        <v>164</v>
      </c>
      <c r="B165">
        <v>58</v>
      </c>
      <c r="C165" t="str">
        <f t="shared" si="38"/>
        <v>57-66</v>
      </c>
      <c r="D165">
        <f t="shared" si="39"/>
        <v>0.64</v>
      </c>
      <c r="E165">
        <v>0</v>
      </c>
      <c r="F165">
        <f t="shared" si="40"/>
        <v>-0.89</v>
      </c>
      <c r="G165">
        <v>3</v>
      </c>
      <c r="H165">
        <f t="shared" si="41"/>
        <v>1.1599999999999999</v>
      </c>
      <c r="I165">
        <v>100</v>
      </c>
      <c r="J165" s="2" t="str">
        <f t="shared" si="42"/>
        <v>94-120</v>
      </c>
      <c r="K165" s="2">
        <f t="shared" si="43"/>
        <v>-0.32</v>
      </c>
      <c r="L165">
        <v>248</v>
      </c>
      <c r="M165" t="str">
        <f t="shared" si="44"/>
        <v>201-250</v>
      </c>
      <c r="N165">
        <f t="shared" si="45"/>
        <v>0.17</v>
      </c>
      <c r="O165">
        <v>0</v>
      </c>
      <c r="P165">
        <f t="shared" si="46"/>
        <v>-0.02</v>
      </c>
      <c r="Q165">
        <v>2</v>
      </c>
      <c r="R165">
        <f t="shared" si="47"/>
        <v>0.33</v>
      </c>
      <c r="S165">
        <v>122</v>
      </c>
      <c r="T165" t="str">
        <f t="shared" si="48"/>
        <v>101-130</v>
      </c>
      <c r="U165">
        <f t="shared" si="49"/>
        <v>1.1499999999999999</v>
      </c>
      <c r="V165">
        <v>0</v>
      </c>
      <c r="W165">
        <f t="shared" si="50"/>
        <v>-0.64</v>
      </c>
      <c r="X165">
        <v>1</v>
      </c>
      <c r="Y165" t="str">
        <f t="shared" si="51"/>
        <v>0.1-1.5</v>
      </c>
      <c r="Z165">
        <f t="shared" si="52"/>
        <v>-0.48</v>
      </c>
      <c r="AA165">
        <v>1</v>
      </c>
      <c r="AB165">
        <f t="shared" si="53"/>
        <v>0.78</v>
      </c>
      <c r="AC165">
        <v>0</v>
      </c>
      <c r="AD165">
        <f t="shared" si="54"/>
        <v>-0.87</v>
      </c>
      <c r="AE165">
        <v>1</v>
      </c>
      <c r="AF165">
        <f t="shared" si="55"/>
        <v>-1.06</v>
      </c>
      <c r="AG165">
        <v>0</v>
      </c>
      <c r="AH165" t="str">
        <f t="shared" si="56"/>
        <v>No</v>
      </c>
    </row>
    <row r="166" spans="1:34">
      <c r="A166">
        <v>165</v>
      </c>
      <c r="B166">
        <v>48</v>
      </c>
      <c r="C166" t="str">
        <f t="shared" si="38"/>
        <v>47-56</v>
      </c>
      <c r="D166">
        <f t="shared" si="39"/>
        <v>-0.28000000000000003</v>
      </c>
      <c r="E166">
        <v>1</v>
      </c>
      <c r="F166">
        <f t="shared" si="40"/>
        <v>0.38</v>
      </c>
      <c r="G166">
        <v>2</v>
      </c>
      <c r="H166">
        <f t="shared" si="41"/>
        <v>-1.1599999999999999</v>
      </c>
      <c r="I166">
        <v>124</v>
      </c>
      <c r="J166" s="2" t="str">
        <f t="shared" si="42"/>
        <v>121-150</v>
      </c>
      <c r="K166" s="2">
        <f t="shared" si="43"/>
        <v>0.04</v>
      </c>
      <c r="L166">
        <v>255</v>
      </c>
      <c r="M166" t="str">
        <f t="shared" si="44"/>
        <v>251-300</v>
      </c>
      <c r="N166">
        <f t="shared" si="45"/>
        <v>0.48</v>
      </c>
      <c r="O166">
        <v>1</v>
      </c>
      <c r="P166">
        <f t="shared" si="46"/>
        <v>0.12</v>
      </c>
      <c r="Q166">
        <v>0</v>
      </c>
      <c r="R166">
        <f t="shared" si="47"/>
        <v>-0.36</v>
      </c>
      <c r="S166">
        <v>175</v>
      </c>
      <c r="T166" t="str">
        <f t="shared" si="48"/>
        <v>161-190</v>
      </c>
      <c r="U166">
        <f t="shared" si="49"/>
        <v>-1.01</v>
      </c>
      <c r="V166">
        <v>0</v>
      </c>
      <c r="W166">
        <f t="shared" si="50"/>
        <v>-0.64</v>
      </c>
      <c r="X166">
        <v>0</v>
      </c>
      <c r="Y166" t="str">
        <f t="shared" si="51"/>
        <v>0.1-1.5</v>
      </c>
      <c r="Z166">
        <f t="shared" si="52"/>
        <v>-0.48</v>
      </c>
      <c r="AA166">
        <v>0</v>
      </c>
      <c r="AB166">
        <f t="shared" si="53"/>
        <v>-0.91</v>
      </c>
      <c r="AC166">
        <v>2</v>
      </c>
      <c r="AD166">
        <f t="shared" si="54"/>
        <v>1.65</v>
      </c>
      <c r="AE166">
        <v>1</v>
      </c>
      <c r="AF166">
        <f t="shared" si="55"/>
        <v>-1.06</v>
      </c>
      <c r="AG166">
        <v>0</v>
      </c>
      <c r="AH166" t="str">
        <f t="shared" si="56"/>
        <v>No</v>
      </c>
    </row>
    <row r="167" spans="1:34">
      <c r="A167">
        <v>166</v>
      </c>
      <c r="B167">
        <v>57</v>
      </c>
      <c r="C167" t="str">
        <f t="shared" si="38"/>
        <v>57-66</v>
      </c>
      <c r="D167">
        <f t="shared" si="39"/>
        <v>0.64</v>
      </c>
      <c r="E167">
        <v>1</v>
      </c>
      <c r="F167">
        <f t="shared" si="40"/>
        <v>0.38</v>
      </c>
      <c r="G167">
        <v>3</v>
      </c>
      <c r="H167">
        <f t="shared" si="41"/>
        <v>1.1599999999999999</v>
      </c>
      <c r="I167">
        <v>132</v>
      </c>
      <c r="J167" s="2" t="str">
        <f t="shared" si="42"/>
        <v>121-150</v>
      </c>
      <c r="K167" s="2">
        <f t="shared" si="43"/>
        <v>0.04</v>
      </c>
      <c r="L167">
        <v>207</v>
      </c>
      <c r="M167" t="str">
        <f t="shared" si="44"/>
        <v>201-250</v>
      </c>
      <c r="N167">
        <f t="shared" si="45"/>
        <v>0.17</v>
      </c>
      <c r="O167">
        <v>0</v>
      </c>
      <c r="P167">
        <f t="shared" si="46"/>
        <v>-0.02</v>
      </c>
      <c r="Q167">
        <v>0</v>
      </c>
      <c r="R167">
        <f t="shared" si="47"/>
        <v>-0.36</v>
      </c>
      <c r="S167">
        <v>168</v>
      </c>
      <c r="T167" t="str">
        <f t="shared" si="48"/>
        <v>161-190</v>
      </c>
      <c r="U167">
        <f t="shared" si="49"/>
        <v>-1.01</v>
      </c>
      <c r="V167">
        <v>1</v>
      </c>
      <c r="W167">
        <f t="shared" si="50"/>
        <v>1.36</v>
      </c>
      <c r="X167">
        <v>0</v>
      </c>
      <c r="Y167" t="str">
        <f t="shared" si="51"/>
        <v>0.1-1.5</v>
      </c>
      <c r="Z167">
        <f t="shared" si="52"/>
        <v>-0.48</v>
      </c>
      <c r="AA167">
        <v>0</v>
      </c>
      <c r="AB167">
        <f t="shared" si="53"/>
        <v>-0.91</v>
      </c>
      <c r="AC167">
        <v>0</v>
      </c>
      <c r="AD167">
        <f t="shared" si="54"/>
        <v>-0.87</v>
      </c>
      <c r="AE167">
        <v>3</v>
      </c>
      <c r="AF167">
        <f t="shared" si="55"/>
        <v>1.32</v>
      </c>
      <c r="AG167">
        <v>0</v>
      </c>
      <c r="AH167" t="str">
        <f t="shared" si="56"/>
        <v>No</v>
      </c>
    </row>
    <row r="168" spans="1:34">
      <c r="A168">
        <v>167</v>
      </c>
      <c r="B168">
        <v>52</v>
      </c>
      <c r="C168" t="str">
        <f t="shared" si="38"/>
        <v>47-56</v>
      </c>
      <c r="D168">
        <f t="shared" si="39"/>
        <v>-0.28000000000000003</v>
      </c>
      <c r="E168">
        <v>1</v>
      </c>
      <c r="F168">
        <f t="shared" si="40"/>
        <v>0.38</v>
      </c>
      <c r="G168">
        <v>2</v>
      </c>
      <c r="H168">
        <f t="shared" si="41"/>
        <v>-1.1599999999999999</v>
      </c>
      <c r="I168">
        <v>138</v>
      </c>
      <c r="J168" s="2" t="str">
        <f t="shared" si="42"/>
        <v>121-150</v>
      </c>
      <c r="K168" s="2">
        <f t="shared" si="43"/>
        <v>0.04</v>
      </c>
      <c r="L168">
        <v>223</v>
      </c>
      <c r="M168" t="str">
        <f t="shared" si="44"/>
        <v>201-250</v>
      </c>
      <c r="N168">
        <f t="shared" si="45"/>
        <v>0.17</v>
      </c>
      <c r="O168">
        <v>0</v>
      </c>
      <c r="P168">
        <f t="shared" si="46"/>
        <v>-0.02</v>
      </c>
      <c r="Q168">
        <v>0</v>
      </c>
      <c r="R168">
        <f t="shared" si="47"/>
        <v>-0.36</v>
      </c>
      <c r="S168">
        <v>169</v>
      </c>
      <c r="T168" t="str">
        <f t="shared" si="48"/>
        <v>161-190</v>
      </c>
      <c r="U168">
        <f t="shared" si="49"/>
        <v>-1.01</v>
      </c>
      <c r="V168">
        <v>0</v>
      </c>
      <c r="W168">
        <f t="shared" si="50"/>
        <v>-0.64</v>
      </c>
      <c r="X168">
        <v>0</v>
      </c>
      <c r="Y168" t="str">
        <f t="shared" si="51"/>
        <v>0.1-1.5</v>
      </c>
      <c r="Z168">
        <f t="shared" si="52"/>
        <v>-0.48</v>
      </c>
      <c r="AA168">
        <v>0</v>
      </c>
      <c r="AB168">
        <f t="shared" si="53"/>
        <v>-0.91</v>
      </c>
      <c r="AC168">
        <v>0</v>
      </c>
      <c r="AD168">
        <f t="shared" si="54"/>
        <v>-0.87</v>
      </c>
      <c r="AE168">
        <v>1</v>
      </c>
      <c r="AF168">
        <f t="shared" si="55"/>
        <v>-1.06</v>
      </c>
      <c r="AG168">
        <v>0</v>
      </c>
      <c r="AH168" t="str">
        <f t="shared" si="56"/>
        <v>No</v>
      </c>
    </row>
    <row r="169" spans="1:34">
      <c r="A169">
        <v>168</v>
      </c>
      <c r="B169">
        <v>54</v>
      </c>
      <c r="C169" t="str">
        <f t="shared" si="38"/>
        <v>47-56</v>
      </c>
      <c r="D169">
        <f t="shared" si="39"/>
        <v>-0.28000000000000003</v>
      </c>
      <c r="E169">
        <v>0</v>
      </c>
      <c r="F169">
        <f t="shared" si="40"/>
        <v>-0.89</v>
      </c>
      <c r="G169">
        <v>1</v>
      </c>
      <c r="H169">
        <f t="shared" si="41"/>
        <v>-1.35</v>
      </c>
      <c r="I169">
        <v>132</v>
      </c>
      <c r="J169" s="2" t="str">
        <f t="shared" si="42"/>
        <v>121-150</v>
      </c>
      <c r="K169" s="2">
        <f t="shared" si="43"/>
        <v>0.04</v>
      </c>
      <c r="L169">
        <v>288</v>
      </c>
      <c r="M169" t="str">
        <f t="shared" si="44"/>
        <v>251-300</v>
      </c>
      <c r="N169">
        <f t="shared" si="45"/>
        <v>0.48</v>
      </c>
      <c r="O169">
        <v>1</v>
      </c>
      <c r="P169">
        <f t="shared" si="46"/>
        <v>0.12</v>
      </c>
      <c r="Q169">
        <v>2</v>
      </c>
      <c r="R169">
        <f t="shared" si="47"/>
        <v>0.33</v>
      </c>
      <c r="S169">
        <v>159</v>
      </c>
      <c r="T169" t="str">
        <f t="shared" si="48"/>
        <v>131-160</v>
      </c>
      <c r="U169">
        <f t="shared" si="49"/>
        <v>0.2</v>
      </c>
      <c r="V169">
        <v>1</v>
      </c>
      <c r="W169">
        <f t="shared" si="50"/>
        <v>1.36</v>
      </c>
      <c r="X169">
        <v>0</v>
      </c>
      <c r="Y169" t="str">
        <f t="shared" si="51"/>
        <v>0.1-1.5</v>
      </c>
      <c r="Z169">
        <f t="shared" si="52"/>
        <v>-0.48</v>
      </c>
      <c r="AA169">
        <v>0</v>
      </c>
      <c r="AB169">
        <f t="shared" si="53"/>
        <v>-0.91</v>
      </c>
      <c r="AC169">
        <v>1</v>
      </c>
      <c r="AD169">
        <f t="shared" si="54"/>
        <v>0.91</v>
      </c>
      <c r="AE169">
        <v>1</v>
      </c>
      <c r="AF169">
        <f t="shared" si="55"/>
        <v>-1.06</v>
      </c>
      <c r="AG169">
        <v>0</v>
      </c>
      <c r="AH169" t="str">
        <f t="shared" si="56"/>
        <v>No</v>
      </c>
    </row>
    <row r="170" spans="1:34">
      <c r="A170">
        <v>169</v>
      </c>
      <c r="B170">
        <v>35</v>
      </c>
      <c r="C170" t="str">
        <f t="shared" si="38"/>
        <v>27-36</v>
      </c>
      <c r="D170">
        <f t="shared" si="39"/>
        <v>-0.75</v>
      </c>
      <c r="E170">
        <v>1</v>
      </c>
      <c r="F170">
        <f t="shared" si="40"/>
        <v>0.38</v>
      </c>
      <c r="G170">
        <v>3</v>
      </c>
      <c r="H170">
        <f t="shared" si="41"/>
        <v>1.1599999999999999</v>
      </c>
      <c r="I170">
        <v>126</v>
      </c>
      <c r="J170" s="2" t="str">
        <f t="shared" si="42"/>
        <v>121-150</v>
      </c>
      <c r="K170" s="2">
        <f t="shared" si="43"/>
        <v>0.04</v>
      </c>
      <c r="L170">
        <v>282</v>
      </c>
      <c r="M170" t="str">
        <f t="shared" si="44"/>
        <v>251-300</v>
      </c>
      <c r="N170">
        <f t="shared" si="45"/>
        <v>0.48</v>
      </c>
      <c r="O170">
        <v>0</v>
      </c>
      <c r="P170">
        <f t="shared" si="46"/>
        <v>-0.02</v>
      </c>
      <c r="Q170">
        <v>2</v>
      </c>
      <c r="R170">
        <f t="shared" si="47"/>
        <v>0.33</v>
      </c>
      <c r="S170">
        <v>156</v>
      </c>
      <c r="T170" t="str">
        <f t="shared" si="48"/>
        <v>131-160</v>
      </c>
      <c r="U170">
        <f t="shared" si="49"/>
        <v>0.2</v>
      </c>
      <c r="V170">
        <v>1</v>
      </c>
      <c r="W170">
        <f t="shared" si="50"/>
        <v>1.36</v>
      </c>
      <c r="X170">
        <v>0</v>
      </c>
      <c r="Y170" t="str">
        <f t="shared" si="51"/>
        <v>0.1-1.5</v>
      </c>
      <c r="Z170">
        <f t="shared" si="52"/>
        <v>-0.48</v>
      </c>
      <c r="AA170">
        <v>0</v>
      </c>
      <c r="AB170">
        <f t="shared" si="53"/>
        <v>-0.91</v>
      </c>
      <c r="AC170">
        <v>0</v>
      </c>
      <c r="AD170">
        <f t="shared" si="54"/>
        <v>-0.87</v>
      </c>
      <c r="AE170">
        <v>3</v>
      </c>
      <c r="AF170">
        <f t="shared" si="55"/>
        <v>1.32</v>
      </c>
      <c r="AG170">
        <v>1</v>
      </c>
      <c r="AH170" t="str">
        <f t="shared" si="56"/>
        <v>Yes</v>
      </c>
    </row>
    <row r="171" spans="1:34">
      <c r="A171">
        <v>170</v>
      </c>
      <c r="B171">
        <v>45</v>
      </c>
      <c r="C171" t="str">
        <f t="shared" si="38"/>
        <v>37-46</v>
      </c>
      <c r="D171">
        <f t="shared" si="39"/>
        <v>-0.83</v>
      </c>
      <c r="E171">
        <v>0</v>
      </c>
      <c r="F171">
        <f t="shared" si="40"/>
        <v>-0.89</v>
      </c>
      <c r="G171">
        <v>1</v>
      </c>
      <c r="H171">
        <f t="shared" si="41"/>
        <v>-1.35</v>
      </c>
      <c r="I171">
        <v>112</v>
      </c>
      <c r="J171" s="2" t="str">
        <f t="shared" si="42"/>
        <v>94-120</v>
      </c>
      <c r="K171" s="2">
        <f t="shared" si="43"/>
        <v>-0.32</v>
      </c>
      <c r="L171">
        <v>160</v>
      </c>
      <c r="M171" t="str">
        <f t="shared" si="44"/>
        <v>126-200</v>
      </c>
      <c r="N171">
        <f t="shared" si="45"/>
        <v>-0.16</v>
      </c>
      <c r="O171">
        <v>0</v>
      </c>
      <c r="P171">
        <f t="shared" si="46"/>
        <v>-0.02</v>
      </c>
      <c r="Q171">
        <v>0</v>
      </c>
      <c r="R171">
        <f t="shared" si="47"/>
        <v>-0.36</v>
      </c>
      <c r="S171">
        <v>138</v>
      </c>
      <c r="T171" t="str">
        <f t="shared" si="48"/>
        <v>131-160</v>
      </c>
      <c r="U171">
        <f t="shared" si="49"/>
        <v>0.2</v>
      </c>
      <c r="V171">
        <v>0</v>
      </c>
      <c r="W171">
        <f t="shared" si="50"/>
        <v>-0.64</v>
      </c>
      <c r="X171">
        <v>0</v>
      </c>
      <c r="Y171" t="str">
        <f t="shared" si="51"/>
        <v>0.1-1.5</v>
      </c>
      <c r="Z171">
        <f t="shared" si="52"/>
        <v>-0.48</v>
      </c>
      <c r="AA171">
        <v>1</v>
      </c>
      <c r="AB171">
        <f t="shared" si="53"/>
        <v>0.78</v>
      </c>
      <c r="AC171">
        <v>0</v>
      </c>
      <c r="AD171">
        <f t="shared" si="54"/>
        <v>-0.87</v>
      </c>
      <c r="AE171">
        <v>1</v>
      </c>
      <c r="AF171">
        <f t="shared" si="55"/>
        <v>-1.06</v>
      </c>
      <c r="AG171">
        <v>0</v>
      </c>
      <c r="AH171" t="str">
        <f t="shared" si="56"/>
        <v>No</v>
      </c>
    </row>
    <row r="172" spans="1:34">
      <c r="A172">
        <v>171</v>
      </c>
      <c r="B172">
        <v>70</v>
      </c>
      <c r="C172" t="str">
        <f t="shared" si="38"/>
        <v>66+</v>
      </c>
      <c r="D172">
        <f t="shared" si="39"/>
        <v>0.17</v>
      </c>
      <c r="E172">
        <v>1</v>
      </c>
      <c r="F172">
        <f t="shared" si="40"/>
        <v>0.38</v>
      </c>
      <c r="G172">
        <v>2</v>
      </c>
      <c r="H172">
        <f t="shared" si="41"/>
        <v>-1.1599999999999999</v>
      </c>
      <c r="I172">
        <v>160</v>
      </c>
      <c r="J172" s="2" t="str">
        <f t="shared" si="42"/>
        <v>151-180</v>
      </c>
      <c r="K172" s="2">
        <f t="shared" si="43"/>
        <v>0.56999999999999995</v>
      </c>
      <c r="L172">
        <v>269</v>
      </c>
      <c r="M172" t="str">
        <f t="shared" si="44"/>
        <v>251-300</v>
      </c>
      <c r="N172">
        <f t="shared" si="45"/>
        <v>0.48</v>
      </c>
      <c r="O172">
        <v>0</v>
      </c>
      <c r="P172">
        <f t="shared" si="46"/>
        <v>-0.02</v>
      </c>
      <c r="Q172">
        <v>0</v>
      </c>
      <c r="R172">
        <f t="shared" si="47"/>
        <v>-0.36</v>
      </c>
      <c r="S172">
        <v>112</v>
      </c>
      <c r="T172" t="str">
        <f t="shared" si="48"/>
        <v>101-130</v>
      </c>
      <c r="U172">
        <f t="shared" si="49"/>
        <v>1.1499999999999999</v>
      </c>
      <c r="V172">
        <v>1</v>
      </c>
      <c r="W172">
        <f t="shared" si="50"/>
        <v>1.36</v>
      </c>
      <c r="X172">
        <v>2.9</v>
      </c>
      <c r="Y172" t="str">
        <f t="shared" si="51"/>
        <v>2.9-4</v>
      </c>
      <c r="Z172">
        <f t="shared" si="52"/>
        <v>2.42</v>
      </c>
      <c r="AA172">
        <v>1</v>
      </c>
      <c r="AB172">
        <f t="shared" si="53"/>
        <v>0.78</v>
      </c>
      <c r="AC172">
        <v>1</v>
      </c>
      <c r="AD172">
        <f t="shared" si="54"/>
        <v>0.91</v>
      </c>
      <c r="AE172">
        <v>3</v>
      </c>
      <c r="AF172">
        <f t="shared" si="55"/>
        <v>1.32</v>
      </c>
      <c r="AG172">
        <v>1</v>
      </c>
      <c r="AH172" t="str">
        <f t="shared" si="56"/>
        <v>Yes</v>
      </c>
    </row>
    <row r="173" spans="1:34">
      <c r="A173">
        <v>172</v>
      </c>
      <c r="B173">
        <v>53</v>
      </c>
      <c r="C173" t="str">
        <f t="shared" si="38"/>
        <v>47-56</v>
      </c>
      <c r="D173">
        <f t="shared" si="39"/>
        <v>-0.28000000000000003</v>
      </c>
      <c r="E173">
        <v>1</v>
      </c>
      <c r="F173">
        <f t="shared" si="40"/>
        <v>0.38</v>
      </c>
      <c r="G173">
        <v>3</v>
      </c>
      <c r="H173">
        <f t="shared" si="41"/>
        <v>1.1599999999999999</v>
      </c>
      <c r="I173">
        <v>142</v>
      </c>
      <c r="J173" s="2" t="str">
        <f t="shared" si="42"/>
        <v>121-150</v>
      </c>
      <c r="K173" s="2">
        <f t="shared" si="43"/>
        <v>0.04</v>
      </c>
      <c r="L173">
        <v>226</v>
      </c>
      <c r="M173" t="str">
        <f t="shared" si="44"/>
        <v>201-250</v>
      </c>
      <c r="N173">
        <f t="shared" si="45"/>
        <v>0.17</v>
      </c>
      <c r="O173">
        <v>0</v>
      </c>
      <c r="P173">
        <f t="shared" si="46"/>
        <v>-0.02</v>
      </c>
      <c r="Q173">
        <v>2</v>
      </c>
      <c r="R173">
        <f t="shared" si="47"/>
        <v>0.33</v>
      </c>
      <c r="S173">
        <v>111</v>
      </c>
      <c r="T173" t="str">
        <f t="shared" si="48"/>
        <v>101-130</v>
      </c>
      <c r="U173">
        <f t="shared" si="49"/>
        <v>1.1499999999999999</v>
      </c>
      <c r="V173">
        <v>1</v>
      </c>
      <c r="W173">
        <f t="shared" si="50"/>
        <v>1.36</v>
      </c>
      <c r="X173">
        <v>0</v>
      </c>
      <c r="Y173" t="str">
        <f t="shared" si="51"/>
        <v>0.1-1.5</v>
      </c>
      <c r="Z173">
        <f t="shared" si="52"/>
        <v>-0.48</v>
      </c>
      <c r="AA173">
        <v>0</v>
      </c>
      <c r="AB173">
        <f t="shared" si="53"/>
        <v>-0.91</v>
      </c>
      <c r="AC173">
        <v>0</v>
      </c>
      <c r="AD173">
        <f t="shared" si="54"/>
        <v>-0.87</v>
      </c>
      <c r="AE173">
        <v>3</v>
      </c>
      <c r="AF173">
        <f t="shared" si="55"/>
        <v>1.32</v>
      </c>
      <c r="AG173">
        <v>0</v>
      </c>
      <c r="AH173" t="str">
        <f t="shared" si="56"/>
        <v>No</v>
      </c>
    </row>
    <row r="174" spans="1:34">
      <c r="A174">
        <v>173</v>
      </c>
      <c r="B174">
        <v>59</v>
      </c>
      <c r="C174" t="str">
        <f t="shared" si="38"/>
        <v>57-66</v>
      </c>
      <c r="D174">
        <f t="shared" si="39"/>
        <v>0.64</v>
      </c>
      <c r="E174">
        <v>0</v>
      </c>
      <c r="F174">
        <f t="shared" si="40"/>
        <v>-0.89</v>
      </c>
      <c r="G174">
        <v>3</v>
      </c>
      <c r="H174">
        <f t="shared" si="41"/>
        <v>1.1599999999999999</v>
      </c>
      <c r="I174">
        <v>174</v>
      </c>
      <c r="J174" s="2" t="str">
        <f t="shared" si="42"/>
        <v>151-180</v>
      </c>
      <c r="K174" s="2">
        <f t="shared" si="43"/>
        <v>0.56999999999999995</v>
      </c>
      <c r="L174">
        <v>249</v>
      </c>
      <c r="M174" t="str">
        <f t="shared" si="44"/>
        <v>201-250</v>
      </c>
      <c r="N174">
        <f t="shared" si="45"/>
        <v>0.17</v>
      </c>
      <c r="O174">
        <v>0</v>
      </c>
      <c r="P174">
        <f t="shared" si="46"/>
        <v>-0.02</v>
      </c>
      <c r="Q174">
        <v>0</v>
      </c>
      <c r="R174">
        <f t="shared" si="47"/>
        <v>-0.36</v>
      </c>
      <c r="S174">
        <v>143</v>
      </c>
      <c r="T174" t="str">
        <f t="shared" si="48"/>
        <v>131-160</v>
      </c>
      <c r="U174">
        <f t="shared" si="49"/>
        <v>0.2</v>
      </c>
      <c r="V174">
        <v>1</v>
      </c>
      <c r="W174">
        <f t="shared" si="50"/>
        <v>1.36</v>
      </c>
      <c r="X174">
        <v>0</v>
      </c>
      <c r="Y174" t="str">
        <f t="shared" si="51"/>
        <v>0.1-1.5</v>
      </c>
      <c r="Z174">
        <f t="shared" si="52"/>
        <v>-0.48</v>
      </c>
      <c r="AA174">
        <v>1</v>
      </c>
      <c r="AB174">
        <f t="shared" si="53"/>
        <v>0.78</v>
      </c>
      <c r="AC174">
        <v>0</v>
      </c>
      <c r="AD174">
        <f t="shared" si="54"/>
        <v>-0.87</v>
      </c>
      <c r="AE174">
        <v>1</v>
      </c>
      <c r="AF174">
        <f t="shared" si="55"/>
        <v>-1.06</v>
      </c>
      <c r="AG174">
        <v>1</v>
      </c>
      <c r="AH174" t="str">
        <f t="shared" si="56"/>
        <v>Yes</v>
      </c>
    </row>
    <row r="175" spans="1:34">
      <c r="A175">
        <v>174</v>
      </c>
      <c r="B175">
        <v>62</v>
      </c>
      <c r="C175" t="str">
        <f t="shared" si="38"/>
        <v>57-66</v>
      </c>
      <c r="D175">
        <f t="shared" si="39"/>
        <v>0.64</v>
      </c>
      <c r="E175">
        <v>0</v>
      </c>
      <c r="F175">
        <f t="shared" si="40"/>
        <v>-0.89</v>
      </c>
      <c r="G175">
        <v>3</v>
      </c>
      <c r="H175">
        <f t="shared" si="41"/>
        <v>1.1599999999999999</v>
      </c>
      <c r="I175">
        <v>140</v>
      </c>
      <c r="J175" s="2" t="str">
        <f t="shared" si="42"/>
        <v>121-150</v>
      </c>
      <c r="K175" s="2">
        <f t="shared" si="43"/>
        <v>0.04</v>
      </c>
      <c r="L175">
        <v>394</v>
      </c>
      <c r="M175" t="str">
        <f t="shared" si="44"/>
        <v>400+</v>
      </c>
      <c r="N175">
        <f t="shared" si="45"/>
        <v>-0.35</v>
      </c>
      <c r="O175">
        <v>0</v>
      </c>
      <c r="P175">
        <f t="shared" si="46"/>
        <v>-0.02</v>
      </c>
      <c r="Q175">
        <v>2</v>
      </c>
      <c r="R175">
        <f t="shared" si="47"/>
        <v>0.33</v>
      </c>
      <c r="S175">
        <v>157</v>
      </c>
      <c r="T175" t="str">
        <f t="shared" si="48"/>
        <v>131-160</v>
      </c>
      <c r="U175">
        <f t="shared" si="49"/>
        <v>0.2</v>
      </c>
      <c r="V175">
        <v>0</v>
      </c>
      <c r="W175">
        <f t="shared" si="50"/>
        <v>-0.64</v>
      </c>
      <c r="X175">
        <v>1.2</v>
      </c>
      <c r="Y175" t="str">
        <f t="shared" si="51"/>
        <v>0.1-1.5</v>
      </c>
      <c r="Z175">
        <f t="shared" si="52"/>
        <v>-0.48</v>
      </c>
      <c r="AA175">
        <v>1</v>
      </c>
      <c r="AB175">
        <f t="shared" si="53"/>
        <v>0.78</v>
      </c>
      <c r="AC175">
        <v>0</v>
      </c>
      <c r="AD175">
        <f t="shared" si="54"/>
        <v>-0.87</v>
      </c>
      <c r="AE175">
        <v>1</v>
      </c>
      <c r="AF175">
        <f t="shared" si="55"/>
        <v>-1.06</v>
      </c>
      <c r="AG175">
        <v>0</v>
      </c>
      <c r="AH175" t="str">
        <f t="shared" si="56"/>
        <v>No</v>
      </c>
    </row>
    <row r="176" spans="1:34">
      <c r="A176">
        <v>175</v>
      </c>
      <c r="B176">
        <v>64</v>
      </c>
      <c r="C176" t="str">
        <f t="shared" si="38"/>
        <v>57-66</v>
      </c>
      <c r="D176">
        <f t="shared" si="39"/>
        <v>0.64</v>
      </c>
      <c r="E176">
        <v>1</v>
      </c>
      <c r="F176">
        <f t="shared" si="40"/>
        <v>0.38</v>
      </c>
      <c r="G176">
        <v>3</v>
      </c>
      <c r="H176">
        <f t="shared" si="41"/>
        <v>1.1599999999999999</v>
      </c>
      <c r="I176">
        <v>145</v>
      </c>
      <c r="J176" s="2" t="str">
        <f t="shared" si="42"/>
        <v>121-150</v>
      </c>
      <c r="K176" s="2">
        <f t="shared" si="43"/>
        <v>0.04</v>
      </c>
      <c r="L176">
        <v>212</v>
      </c>
      <c r="M176" t="str">
        <f t="shared" si="44"/>
        <v>201-250</v>
      </c>
      <c r="N176">
        <f t="shared" si="45"/>
        <v>0.17</v>
      </c>
      <c r="O176">
        <v>0</v>
      </c>
      <c r="P176">
        <f t="shared" si="46"/>
        <v>-0.02</v>
      </c>
      <c r="Q176">
        <v>2</v>
      </c>
      <c r="R176">
        <f t="shared" si="47"/>
        <v>0.33</v>
      </c>
      <c r="S176">
        <v>132</v>
      </c>
      <c r="T176" t="str">
        <f t="shared" si="48"/>
        <v>131-160</v>
      </c>
      <c r="U176">
        <f t="shared" si="49"/>
        <v>0.2</v>
      </c>
      <c r="V176">
        <v>0</v>
      </c>
      <c r="W176">
        <f t="shared" si="50"/>
        <v>-0.64</v>
      </c>
      <c r="X176">
        <v>2</v>
      </c>
      <c r="Y176" t="str">
        <f t="shared" si="51"/>
        <v>1.6-2.8</v>
      </c>
      <c r="Z176">
        <f t="shared" si="52"/>
        <v>0.99</v>
      </c>
      <c r="AA176">
        <v>1</v>
      </c>
      <c r="AB176">
        <f t="shared" si="53"/>
        <v>0.78</v>
      </c>
      <c r="AC176">
        <v>2</v>
      </c>
      <c r="AD176">
        <f t="shared" si="54"/>
        <v>1.65</v>
      </c>
      <c r="AE176">
        <v>2</v>
      </c>
      <c r="AF176">
        <f t="shared" si="55"/>
        <v>0.86</v>
      </c>
      <c r="AG176">
        <v>1</v>
      </c>
      <c r="AH176" t="str">
        <f t="shared" si="56"/>
        <v>Yes</v>
      </c>
    </row>
    <row r="177" spans="1:34">
      <c r="A177">
        <v>176</v>
      </c>
      <c r="B177">
        <v>57</v>
      </c>
      <c r="C177" t="str">
        <f t="shared" si="38"/>
        <v>57-66</v>
      </c>
      <c r="D177">
        <f t="shared" si="39"/>
        <v>0.64</v>
      </c>
      <c r="E177">
        <v>1</v>
      </c>
      <c r="F177">
        <f t="shared" si="40"/>
        <v>0.38</v>
      </c>
      <c r="G177">
        <v>3</v>
      </c>
      <c r="H177">
        <f t="shared" si="41"/>
        <v>1.1599999999999999</v>
      </c>
      <c r="I177">
        <v>152</v>
      </c>
      <c r="J177" s="2" t="str">
        <f t="shared" si="42"/>
        <v>151-180</v>
      </c>
      <c r="K177" s="2">
        <f t="shared" si="43"/>
        <v>0.56999999999999995</v>
      </c>
      <c r="L177">
        <v>274</v>
      </c>
      <c r="M177" t="str">
        <f t="shared" si="44"/>
        <v>251-300</v>
      </c>
      <c r="N177">
        <f t="shared" si="45"/>
        <v>0.48</v>
      </c>
      <c r="O177">
        <v>0</v>
      </c>
      <c r="P177">
        <f t="shared" si="46"/>
        <v>-0.02</v>
      </c>
      <c r="Q177">
        <v>0</v>
      </c>
      <c r="R177">
        <f t="shared" si="47"/>
        <v>-0.36</v>
      </c>
      <c r="S177">
        <v>88</v>
      </c>
      <c r="T177" t="str">
        <f t="shared" si="48"/>
        <v>71-100</v>
      </c>
      <c r="U177">
        <f t="shared" si="49"/>
        <v>2.11</v>
      </c>
      <c r="V177">
        <v>1</v>
      </c>
      <c r="W177">
        <f t="shared" si="50"/>
        <v>1.36</v>
      </c>
      <c r="X177">
        <v>1.2</v>
      </c>
      <c r="Y177" t="str">
        <f t="shared" si="51"/>
        <v>0.1-1.5</v>
      </c>
      <c r="Z177">
        <f t="shared" si="52"/>
        <v>-0.48</v>
      </c>
      <c r="AA177">
        <v>1</v>
      </c>
      <c r="AB177">
        <f t="shared" si="53"/>
        <v>0.78</v>
      </c>
      <c r="AC177">
        <v>1</v>
      </c>
      <c r="AD177">
        <f t="shared" si="54"/>
        <v>0.91</v>
      </c>
      <c r="AE177">
        <v>3</v>
      </c>
      <c r="AF177">
        <f t="shared" si="55"/>
        <v>1.32</v>
      </c>
      <c r="AG177">
        <v>1</v>
      </c>
      <c r="AH177" t="str">
        <f t="shared" si="56"/>
        <v>Yes</v>
      </c>
    </row>
    <row r="178" spans="1:34">
      <c r="A178">
        <v>177</v>
      </c>
      <c r="B178">
        <v>52</v>
      </c>
      <c r="C178" t="str">
        <f t="shared" si="38"/>
        <v>47-56</v>
      </c>
      <c r="D178">
        <f t="shared" si="39"/>
        <v>-0.28000000000000003</v>
      </c>
      <c r="E178">
        <v>1</v>
      </c>
      <c r="F178">
        <f t="shared" si="40"/>
        <v>0.38</v>
      </c>
      <c r="G178">
        <v>3</v>
      </c>
      <c r="H178">
        <f t="shared" si="41"/>
        <v>1.1599999999999999</v>
      </c>
      <c r="I178">
        <v>108</v>
      </c>
      <c r="J178" s="2" t="str">
        <f t="shared" si="42"/>
        <v>94-120</v>
      </c>
      <c r="K178" s="2">
        <f t="shared" si="43"/>
        <v>-0.32</v>
      </c>
      <c r="L178">
        <v>233</v>
      </c>
      <c r="M178" t="str">
        <f t="shared" si="44"/>
        <v>201-250</v>
      </c>
      <c r="N178">
        <f t="shared" si="45"/>
        <v>0.17</v>
      </c>
      <c r="O178">
        <v>1</v>
      </c>
      <c r="P178">
        <f t="shared" si="46"/>
        <v>0.12</v>
      </c>
      <c r="Q178">
        <v>0</v>
      </c>
      <c r="R178">
        <f t="shared" si="47"/>
        <v>-0.36</v>
      </c>
      <c r="S178">
        <v>147</v>
      </c>
      <c r="T178" t="str">
        <f t="shared" si="48"/>
        <v>131-160</v>
      </c>
      <c r="U178">
        <f t="shared" si="49"/>
        <v>0.2</v>
      </c>
      <c r="V178">
        <v>0</v>
      </c>
      <c r="W178">
        <f t="shared" si="50"/>
        <v>-0.64</v>
      </c>
      <c r="X178">
        <v>0.1</v>
      </c>
      <c r="Y178" t="str">
        <f t="shared" si="51"/>
        <v>0.1-1.5</v>
      </c>
      <c r="Z178">
        <f t="shared" si="52"/>
        <v>-0.48</v>
      </c>
      <c r="AA178">
        <v>0</v>
      </c>
      <c r="AB178">
        <f t="shared" si="53"/>
        <v>-0.91</v>
      </c>
      <c r="AC178">
        <v>3</v>
      </c>
      <c r="AD178">
        <f t="shared" si="54"/>
        <v>1.9</v>
      </c>
      <c r="AE178">
        <v>3</v>
      </c>
      <c r="AF178">
        <f t="shared" si="55"/>
        <v>1.32</v>
      </c>
      <c r="AG178">
        <v>0</v>
      </c>
      <c r="AH178" t="str">
        <f t="shared" si="56"/>
        <v>No</v>
      </c>
    </row>
    <row r="179" spans="1:34">
      <c r="A179">
        <v>178</v>
      </c>
      <c r="B179">
        <v>56</v>
      </c>
      <c r="C179" t="str">
        <f t="shared" si="38"/>
        <v>47-56</v>
      </c>
      <c r="D179">
        <f t="shared" si="39"/>
        <v>-0.28000000000000003</v>
      </c>
      <c r="E179">
        <v>1</v>
      </c>
      <c r="F179">
        <f t="shared" si="40"/>
        <v>0.38</v>
      </c>
      <c r="G179">
        <v>3</v>
      </c>
      <c r="H179">
        <f t="shared" si="41"/>
        <v>1.1599999999999999</v>
      </c>
      <c r="I179">
        <v>132</v>
      </c>
      <c r="J179" s="2" t="str">
        <f t="shared" si="42"/>
        <v>121-150</v>
      </c>
      <c r="K179" s="2">
        <f t="shared" si="43"/>
        <v>0.04</v>
      </c>
      <c r="L179">
        <v>184</v>
      </c>
      <c r="M179" t="str">
        <f t="shared" si="44"/>
        <v>126-200</v>
      </c>
      <c r="N179">
        <f t="shared" si="45"/>
        <v>-0.16</v>
      </c>
      <c r="O179">
        <v>0</v>
      </c>
      <c r="P179">
        <f t="shared" si="46"/>
        <v>-0.02</v>
      </c>
      <c r="Q179">
        <v>2</v>
      </c>
      <c r="R179">
        <f t="shared" si="47"/>
        <v>0.33</v>
      </c>
      <c r="S179">
        <v>105</v>
      </c>
      <c r="T179" t="str">
        <f t="shared" si="48"/>
        <v>101-130</v>
      </c>
      <c r="U179">
        <f t="shared" si="49"/>
        <v>1.1499999999999999</v>
      </c>
      <c r="V179">
        <v>1</v>
      </c>
      <c r="W179">
        <f t="shared" si="50"/>
        <v>1.36</v>
      </c>
      <c r="X179">
        <v>2.1</v>
      </c>
      <c r="Y179" t="str">
        <f t="shared" si="51"/>
        <v>1.6-2.8</v>
      </c>
      <c r="Z179">
        <f t="shared" si="52"/>
        <v>0.99</v>
      </c>
      <c r="AA179">
        <v>1</v>
      </c>
      <c r="AB179">
        <f t="shared" si="53"/>
        <v>0.78</v>
      </c>
      <c r="AC179">
        <v>1</v>
      </c>
      <c r="AD179">
        <f t="shared" si="54"/>
        <v>0.91</v>
      </c>
      <c r="AE179">
        <v>2</v>
      </c>
      <c r="AF179">
        <f t="shared" si="55"/>
        <v>0.86</v>
      </c>
      <c r="AG179">
        <v>1</v>
      </c>
      <c r="AH179" t="str">
        <f t="shared" si="56"/>
        <v>Yes</v>
      </c>
    </row>
    <row r="180" spans="1:34">
      <c r="A180">
        <v>179</v>
      </c>
      <c r="B180">
        <v>43</v>
      </c>
      <c r="C180" t="str">
        <f t="shared" si="38"/>
        <v>37-46</v>
      </c>
      <c r="D180">
        <f t="shared" si="39"/>
        <v>-0.83</v>
      </c>
      <c r="E180">
        <v>1</v>
      </c>
      <c r="F180">
        <f t="shared" si="40"/>
        <v>0.38</v>
      </c>
      <c r="G180">
        <v>2</v>
      </c>
      <c r="H180">
        <f t="shared" si="41"/>
        <v>-1.1599999999999999</v>
      </c>
      <c r="I180">
        <v>130</v>
      </c>
      <c r="J180" s="2" t="str">
        <f t="shared" si="42"/>
        <v>121-150</v>
      </c>
      <c r="K180" s="2">
        <f t="shared" si="43"/>
        <v>0.04</v>
      </c>
      <c r="L180">
        <v>315</v>
      </c>
      <c r="M180" t="str">
        <f t="shared" si="44"/>
        <v>351-400</v>
      </c>
      <c r="N180">
        <f t="shared" si="45"/>
        <v>0.17</v>
      </c>
      <c r="O180">
        <v>0</v>
      </c>
      <c r="P180">
        <f t="shared" si="46"/>
        <v>-0.02</v>
      </c>
      <c r="Q180">
        <v>0</v>
      </c>
      <c r="R180">
        <f t="shared" si="47"/>
        <v>-0.36</v>
      </c>
      <c r="S180">
        <v>162</v>
      </c>
      <c r="T180" t="str">
        <f t="shared" si="48"/>
        <v>161-190</v>
      </c>
      <c r="U180">
        <f t="shared" si="49"/>
        <v>-1.01</v>
      </c>
      <c r="V180">
        <v>0</v>
      </c>
      <c r="W180">
        <f t="shared" si="50"/>
        <v>-0.64</v>
      </c>
      <c r="X180">
        <v>1.9</v>
      </c>
      <c r="Y180" t="str">
        <f t="shared" si="51"/>
        <v>1.6-2.8</v>
      </c>
      <c r="Z180">
        <f t="shared" si="52"/>
        <v>0.99</v>
      </c>
      <c r="AA180">
        <v>0</v>
      </c>
      <c r="AB180">
        <f t="shared" si="53"/>
        <v>-0.91</v>
      </c>
      <c r="AC180">
        <v>1</v>
      </c>
      <c r="AD180">
        <f t="shared" si="54"/>
        <v>0.91</v>
      </c>
      <c r="AE180">
        <v>1</v>
      </c>
      <c r="AF180">
        <f t="shared" si="55"/>
        <v>-1.06</v>
      </c>
      <c r="AG180">
        <v>0</v>
      </c>
      <c r="AH180" t="str">
        <f t="shared" si="56"/>
        <v>No</v>
      </c>
    </row>
    <row r="181" spans="1:34">
      <c r="A181">
        <v>180</v>
      </c>
      <c r="B181">
        <v>53</v>
      </c>
      <c r="C181" t="str">
        <f t="shared" si="38"/>
        <v>47-56</v>
      </c>
      <c r="D181">
        <f t="shared" si="39"/>
        <v>-0.28000000000000003</v>
      </c>
      <c r="E181">
        <v>1</v>
      </c>
      <c r="F181">
        <f t="shared" si="40"/>
        <v>0.38</v>
      </c>
      <c r="G181">
        <v>2</v>
      </c>
      <c r="H181">
        <f t="shared" si="41"/>
        <v>-1.1599999999999999</v>
      </c>
      <c r="I181">
        <v>130</v>
      </c>
      <c r="J181" s="2" t="str">
        <f t="shared" si="42"/>
        <v>121-150</v>
      </c>
      <c r="K181" s="2">
        <f t="shared" si="43"/>
        <v>0.04</v>
      </c>
      <c r="L181">
        <v>246</v>
      </c>
      <c r="M181" t="str">
        <f t="shared" si="44"/>
        <v>201-250</v>
      </c>
      <c r="N181">
        <f t="shared" si="45"/>
        <v>0.17</v>
      </c>
      <c r="O181">
        <v>1</v>
      </c>
      <c r="P181">
        <f t="shared" si="46"/>
        <v>0.12</v>
      </c>
      <c r="Q181">
        <v>2</v>
      </c>
      <c r="R181">
        <f t="shared" si="47"/>
        <v>0.33</v>
      </c>
      <c r="S181">
        <v>173</v>
      </c>
      <c r="T181" t="str">
        <f t="shared" si="48"/>
        <v>161-190</v>
      </c>
      <c r="U181">
        <f t="shared" si="49"/>
        <v>-1.01</v>
      </c>
      <c r="V181">
        <v>0</v>
      </c>
      <c r="W181">
        <f t="shared" si="50"/>
        <v>-0.64</v>
      </c>
      <c r="X181">
        <v>0</v>
      </c>
      <c r="Y181" t="str">
        <f t="shared" si="51"/>
        <v>0.1-1.5</v>
      </c>
      <c r="Z181">
        <f t="shared" si="52"/>
        <v>-0.48</v>
      </c>
      <c r="AA181">
        <v>0</v>
      </c>
      <c r="AB181">
        <f t="shared" si="53"/>
        <v>-0.91</v>
      </c>
      <c r="AC181">
        <v>3</v>
      </c>
      <c r="AD181">
        <f t="shared" si="54"/>
        <v>1.9</v>
      </c>
      <c r="AE181">
        <v>1</v>
      </c>
      <c r="AF181">
        <f t="shared" si="55"/>
        <v>-1.06</v>
      </c>
      <c r="AG181">
        <v>0</v>
      </c>
      <c r="AH181" t="str">
        <f t="shared" si="56"/>
        <v>No</v>
      </c>
    </row>
    <row r="182" spans="1:34">
      <c r="A182">
        <v>181</v>
      </c>
      <c r="B182">
        <v>48</v>
      </c>
      <c r="C182" t="str">
        <f t="shared" si="38"/>
        <v>47-56</v>
      </c>
      <c r="D182">
        <f t="shared" si="39"/>
        <v>-0.28000000000000003</v>
      </c>
      <c r="E182">
        <v>1</v>
      </c>
      <c r="F182">
        <f t="shared" si="40"/>
        <v>0.38</v>
      </c>
      <c r="G182">
        <v>3</v>
      </c>
      <c r="H182">
        <f t="shared" si="41"/>
        <v>1.1599999999999999</v>
      </c>
      <c r="I182">
        <v>124</v>
      </c>
      <c r="J182" s="2" t="str">
        <f t="shared" si="42"/>
        <v>121-150</v>
      </c>
      <c r="K182" s="2">
        <f t="shared" si="43"/>
        <v>0.04</v>
      </c>
      <c r="L182">
        <v>274</v>
      </c>
      <c r="M182" t="str">
        <f t="shared" si="44"/>
        <v>251-300</v>
      </c>
      <c r="N182">
        <f t="shared" si="45"/>
        <v>0.48</v>
      </c>
      <c r="O182">
        <v>0</v>
      </c>
      <c r="P182">
        <f t="shared" si="46"/>
        <v>-0.02</v>
      </c>
      <c r="Q182">
        <v>2</v>
      </c>
      <c r="R182">
        <f t="shared" si="47"/>
        <v>0.33</v>
      </c>
      <c r="S182">
        <v>166</v>
      </c>
      <c r="T182" t="str">
        <f t="shared" si="48"/>
        <v>161-190</v>
      </c>
      <c r="U182">
        <f t="shared" si="49"/>
        <v>-1.01</v>
      </c>
      <c r="V182">
        <v>0</v>
      </c>
      <c r="W182">
        <f t="shared" si="50"/>
        <v>-0.64</v>
      </c>
      <c r="X182">
        <v>0.5</v>
      </c>
      <c r="Y182" t="str">
        <f t="shared" si="51"/>
        <v>0.1-1.5</v>
      </c>
      <c r="Z182">
        <f t="shared" si="52"/>
        <v>-0.48</v>
      </c>
      <c r="AA182">
        <v>1</v>
      </c>
      <c r="AB182">
        <f t="shared" si="53"/>
        <v>0.78</v>
      </c>
      <c r="AC182">
        <v>0</v>
      </c>
      <c r="AD182">
        <f t="shared" si="54"/>
        <v>-0.87</v>
      </c>
      <c r="AE182">
        <v>3</v>
      </c>
      <c r="AF182">
        <f t="shared" si="55"/>
        <v>1.32</v>
      </c>
      <c r="AG182">
        <v>1</v>
      </c>
      <c r="AH182" t="str">
        <f t="shared" si="56"/>
        <v>Yes</v>
      </c>
    </row>
    <row r="183" spans="1:34">
      <c r="A183">
        <v>182</v>
      </c>
      <c r="B183">
        <v>56</v>
      </c>
      <c r="C183" t="str">
        <f t="shared" si="38"/>
        <v>47-56</v>
      </c>
      <c r="D183">
        <f t="shared" si="39"/>
        <v>-0.28000000000000003</v>
      </c>
      <c r="E183">
        <v>0</v>
      </c>
      <c r="F183">
        <f t="shared" si="40"/>
        <v>-0.89</v>
      </c>
      <c r="G183">
        <v>3</v>
      </c>
      <c r="H183">
        <f t="shared" si="41"/>
        <v>1.1599999999999999</v>
      </c>
      <c r="I183">
        <v>134</v>
      </c>
      <c r="J183" s="2" t="str">
        <f t="shared" si="42"/>
        <v>121-150</v>
      </c>
      <c r="K183" s="2">
        <f t="shared" si="43"/>
        <v>0.04</v>
      </c>
      <c r="L183">
        <v>409</v>
      </c>
      <c r="M183" t="str">
        <f t="shared" si="44"/>
        <v>400+</v>
      </c>
      <c r="N183">
        <f t="shared" si="45"/>
        <v>-0.35</v>
      </c>
      <c r="O183">
        <v>0</v>
      </c>
      <c r="P183">
        <f t="shared" si="46"/>
        <v>-0.02</v>
      </c>
      <c r="Q183">
        <v>2</v>
      </c>
      <c r="R183">
        <f t="shared" si="47"/>
        <v>0.33</v>
      </c>
      <c r="S183">
        <v>150</v>
      </c>
      <c r="T183" t="str">
        <f t="shared" si="48"/>
        <v>131-160</v>
      </c>
      <c r="U183">
        <f t="shared" si="49"/>
        <v>0.2</v>
      </c>
      <c r="V183">
        <v>1</v>
      </c>
      <c r="W183">
        <f t="shared" si="50"/>
        <v>1.36</v>
      </c>
      <c r="X183">
        <v>1.9</v>
      </c>
      <c r="Y183" t="str">
        <f t="shared" si="51"/>
        <v>1.6-2.8</v>
      </c>
      <c r="Z183">
        <f t="shared" si="52"/>
        <v>0.99</v>
      </c>
      <c r="AA183">
        <v>1</v>
      </c>
      <c r="AB183">
        <f t="shared" si="53"/>
        <v>0.78</v>
      </c>
      <c r="AC183">
        <v>2</v>
      </c>
      <c r="AD183">
        <f t="shared" si="54"/>
        <v>1.65</v>
      </c>
      <c r="AE183">
        <v>3</v>
      </c>
      <c r="AF183">
        <f t="shared" si="55"/>
        <v>1.32</v>
      </c>
      <c r="AG183">
        <v>1</v>
      </c>
      <c r="AH183" t="str">
        <f t="shared" si="56"/>
        <v>Yes</v>
      </c>
    </row>
    <row r="184" spans="1:34">
      <c r="A184">
        <v>183</v>
      </c>
      <c r="B184">
        <v>42</v>
      </c>
      <c r="C184" t="str">
        <f t="shared" si="38"/>
        <v>37-46</v>
      </c>
      <c r="D184">
        <f t="shared" si="39"/>
        <v>-0.83</v>
      </c>
      <c r="E184">
        <v>1</v>
      </c>
      <c r="F184">
        <f t="shared" si="40"/>
        <v>0.38</v>
      </c>
      <c r="G184">
        <v>0</v>
      </c>
      <c r="H184">
        <f t="shared" si="41"/>
        <v>-0.66</v>
      </c>
      <c r="I184">
        <v>148</v>
      </c>
      <c r="J184" s="2" t="str">
        <f t="shared" si="42"/>
        <v>121-150</v>
      </c>
      <c r="K184" s="2">
        <f t="shared" si="43"/>
        <v>0.04</v>
      </c>
      <c r="L184">
        <v>244</v>
      </c>
      <c r="M184" t="str">
        <f t="shared" si="44"/>
        <v>201-250</v>
      </c>
      <c r="N184">
        <f t="shared" si="45"/>
        <v>0.17</v>
      </c>
      <c r="O184">
        <v>0</v>
      </c>
      <c r="P184">
        <f t="shared" si="46"/>
        <v>-0.02</v>
      </c>
      <c r="Q184">
        <v>2</v>
      </c>
      <c r="R184">
        <f t="shared" si="47"/>
        <v>0.33</v>
      </c>
      <c r="S184">
        <v>178</v>
      </c>
      <c r="T184" t="str">
        <f t="shared" si="48"/>
        <v>161-190</v>
      </c>
      <c r="U184">
        <f t="shared" si="49"/>
        <v>-1.01</v>
      </c>
      <c r="V184">
        <v>0</v>
      </c>
      <c r="W184">
        <f t="shared" si="50"/>
        <v>-0.64</v>
      </c>
      <c r="X184">
        <v>0.8</v>
      </c>
      <c r="Y184" t="str">
        <f t="shared" si="51"/>
        <v>0.1-1.5</v>
      </c>
      <c r="Z184">
        <f t="shared" si="52"/>
        <v>-0.48</v>
      </c>
      <c r="AA184">
        <v>0</v>
      </c>
      <c r="AB184">
        <f t="shared" si="53"/>
        <v>-0.91</v>
      </c>
      <c r="AC184">
        <v>2</v>
      </c>
      <c r="AD184">
        <f t="shared" si="54"/>
        <v>1.65</v>
      </c>
      <c r="AE184">
        <v>1</v>
      </c>
      <c r="AF184">
        <f t="shared" si="55"/>
        <v>-1.06</v>
      </c>
      <c r="AG184">
        <v>0</v>
      </c>
      <c r="AH184" t="str">
        <f t="shared" si="56"/>
        <v>No</v>
      </c>
    </row>
    <row r="185" spans="1:34">
      <c r="A185">
        <v>184</v>
      </c>
      <c r="B185">
        <v>59</v>
      </c>
      <c r="C185" t="str">
        <f t="shared" si="38"/>
        <v>57-66</v>
      </c>
      <c r="D185">
        <f t="shared" si="39"/>
        <v>0.64</v>
      </c>
      <c r="E185">
        <v>1</v>
      </c>
      <c r="F185">
        <f t="shared" si="40"/>
        <v>0.38</v>
      </c>
      <c r="G185">
        <v>0</v>
      </c>
      <c r="H185">
        <f t="shared" si="41"/>
        <v>-0.66</v>
      </c>
      <c r="I185">
        <v>178</v>
      </c>
      <c r="J185" s="2" t="str">
        <f t="shared" si="42"/>
        <v>151-180</v>
      </c>
      <c r="K185" s="2">
        <f t="shared" si="43"/>
        <v>0.56999999999999995</v>
      </c>
      <c r="L185">
        <v>270</v>
      </c>
      <c r="M185" t="str">
        <f t="shared" si="44"/>
        <v>251-300</v>
      </c>
      <c r="N185">
        <f t="shared" si="45"/>
        <v>0.48</v>
      </c>
      <c r="O185">
        <v>0</v>
      </c>
      <c r="P185">
        <f t="shared" si="46"/>
        <v>-0.02</v>
      </c>
      <c r="Q185">
        <v>2</v>
      </c>
      <c r="R185">
        <f t="shared" si="47"/>
        <v>0.33</v>
      </c>
      <c r="S185">
        <v>145</v>
      </c>
      <c r="T185" t="str">
        <f t="shared" si="48"/>
        <v>131-160</v>
      </c>
      <c r="U185">
        <f t="shared" si="49"/>
        <v>0.2</v>
      </c>
      <c r="V185">
        <v>0</v>
      </c>
      <c r="W185">
        <f t="shared" si="50"/>
        <v>-0.64</v>
      </c>
      <c r="X185">
        <v>4.2</v>
      </c>
      <c r="Y185" t="str">
        <f t="shared" si="51"/>
        <v>4+</v>
      </c>
      <c r="Z185">
        <f t="shared" si="52"/>
        <v>1.55</v>
      </c>
      <c r="AA185">
        <v>2</v>
      </c>
      <c r="AB185">
        <f t="shared" si="53"/>
        <v>0.45</v>
      </c>
      <c r="AC185">
        <v>0</v>
      </c>
      <c r="AD185">
        <f t="shared" si="54"/>
        <v>-0.87</v>
      </c>
      <c r="AE185">
        <v>3</v>
      </c>
      <c r="AF185">
        <f t="shared" si="55"/>
        <v>1.32</v>
      </c>
      <c r="AG185">
        <v>0</v>
      </c>
      <c r="AH185" t="str">
        <f t="shared" si="56"/>
        <v>No</v>
      </c>
    </row>
    <row r="186" spans="1:34">
      <c r="A186">
        <v>185</v>
      </c>
      <c r="B186">
        <v>60</v>
      </c>
      <c r="C186" t="str">
        <f t="shared" si="38"/>
        <v>57-66</v>
      </c>
      <c r="D186">
        <f t="shared" si="39"/>
        <v>0.64</v>
      </c>
      <c r="E186">
        <v>0</v>
      </c>
      <c r="F186">
        <f t="shared" si="40"/>
        <v>-0.89</v>
      </c>
      <c r="G186">
        <v>3</v>
      </c>
      <c r="H186">
        <f t="shared" si="41"/>
        <v>1.1599999999999999</v>
      </c>
      <c r="I186">
        <v>158</v>
      </c>
      <c r="J186" s="2" t="str">
        <f t="shared" si="42"/>
        <v>151-180</v>
      </c>
      <c r="K186" s="2">
        <f t="shared" si="43"/>
        <v>0.56999999999999995</v>
      </c>
      <c r="L186">
        <v>305</v>
      </c>
      <c r="M186" t="str">
        <f t="shared" si="44"/>
        <v>351-400</v>
      </c>
      <c r="N186">
        <f t="shared" si="45"/>
        <v>0.17</v>
      </c>
      <c r="O186">
        <v>0</v>
      </c>
      <c r="P186">
        <f t="shared" si="46"/>
        <v>-0.02</v>
      </c>
      <c r="Q186">
        <v>2</v>
      </c>
      <c r="R186">
        <f t="shared" si="47"/>
        <v>0.33</v>
      </c>
      <c r="S186">
        <v>161</v>
      </c>
      <c r="T186" t="str">
        <f t="shared" si="48"/>
        <v>161-190</v>
      </c>
      <c r="U186">
        <f t="shared" si="49"/>
        <v>-1.01</v>
      </c>
      <c r="V186">
        <v>0</v>
      </c>
      <c r="W186">
        <f t="shared" si="50"/>
        <v>-0.64</v>
      </c>
      <c r="X186">
        <v>0</v>
      </c>
      <c r="Y186" t="str">
        <f t="shared" si="51"/>
        <v>0.1-1.5</v>
      </c>
      <c r="Z186">
        <f t="shared" si="52"/>
        <v>-0.48</v>
      </c>
      <c r="AA186">
        <v>0</v>
      </c>
      <c r="AB186">
        <f t="shared" si="53"/>
        <v>-0.91</v>
      </c>
      <c r="AC186">
        <v>0</v>
      </c>
      <c r="AD186">
        <f t="shared" si="54"/>
        <v>-0.87</v>
      </c>
      <c r="AE186">
        <v>1</v>
      </c>
      <c r="AF186">
        <f t="shared" si="55"/>
        <v>-1.06</v>
      </c>
      <c r="AG186">
        <v>1</v>
      </c>
      <c r="AH186" t="str">
        <f t="shared" si="56"/>
        <v>Yes</v>
      </c>
    </row>
    <row r="187" spans="1:34">
      <c r="A187">
        <v>186</v>
      </c>
      <c r="B187">
        <v>63</v>
      </c>
      <c r="C187" t="str">
        <f t="shared" si="38"/>
        <v>57-66</v>
      </c>
      <c r="D187">
        <f t="shared" si="39"/>
        <v>0.64</v>
      </c>
      <c r="E187">
        <v>0</v>
      </c>
      <c r="F187">
        <f t="shared" si="40"/>
        <v>-0.89</v>
      </c>
      <c r="G187">
        <v>1</v>
      </c>
      <c r="H187">
        <f t="shared" si="41"/>
        <v>-1.35</v>
      </c>
      <c r="I187">
        <v>140</v>
      </c>
      <c r="J187" s="2" t="str">
        <f t="shared" si="42"/>
        <v>121-150</v>
      </c>
      <c r="K187" s="2">
        <f t="shared" si="43"/>
        <v>0.04</v>
      </c>
      <c r="L187">
        <v>195</v>
      </c>
      <c r="M187" t="str">
        <f t="shared" si="44"/>
        <v>126-200</v>
      </c>
      <c r="N187">
        <f t="shared" si="45"/>
        <v>-0.16</v>
      </c>
      <c r="O187">
        <v>0</v>
      </c>
      <c r="P187">
        <f t="shared" si="46"/>
        <v>-0.02</v>
      </c>
      <c r="Q187">
        <v>0</v>
      </c>
      <c r="R187">
        <f t="shared" si="47"/>
        <v>-0.36</v>
      </c>
      <c r="S187">
        <v>179</v>
      </c>
      <c r="T187" t="str">
        <f t="shared" si="48"/>
        <v>161-190</v>
      </c>
      <c r="U187">
        <f t="shared" si="49"/>
        <v>-1.01</v>
      </c>
      <c r="V187">
        <v>0</v>
      </c>
      <c r="W187">
        <f t="shared" si="50"/>
        <v>-0.64</v>
      </c>
      <c r="X187">
        <v>0</v>
      </c>
      <c r="Y187" t="str">
        <f t="shared" si="51"/>
        <v>0.1-1.5</v>
      </c>
      <c r="Z187">
        <f t="shared" si="52"/>
        <v>-0.48</v>
      </c>
      <c r="AA187">
        <v>0</v>
      </c>
      <c r="AB187">
        <f t="shared" si="53"/>
        <v>-0.91</v>
      </c>
      <c r="AC187">
        <v>2</v>
      </c>
      <c r="AD187">
        <f t="shared" si="54"/>
        <v>1.65</v>
      </c>
      <c r="AE187">
        <v>1</v>
      </c>
      <c r="AF187">
        <f t="shared" si="55"/>
        <v>-1.06</v>
      </c>
      <c r="AG187">
        <v>0</v>
      </c>
      <c r="AH187" t="str">
        <f t="shared" si="56"/>
        <v>No</v>
      </c>
    </row>
    <row r="188" spans="1:34">
      <c r="A188">
        <v>187</v>
      </c>
      <c r="B188">
        <v>42</v>
      </c>
      <c r="C188" t="str">
        <f t="shared" si="38"/>
        <v>37-46</v>
      </c>
      <c r="D188">
        <f t="shared" si="39"/>
        <v>-0.83</v>
      </c>
      <c r="E188">
        <v>1</v>
      </c>
      <c r="F188">
        <f t="shared" si="40"/>
        <v>0.38</v>
      </c>
      <c r="G188">
        <v>2</v>
      </c>
      <c r="H188">
        <f t="shared" si="41"/>
        <v>-1.1599999999999999</v>
      </c>
      <c r="I188">
        <v>120</v>
      </c>
      <c r="J188" s="2" t="str">
        <f t="shared" si="42"/>
        <v>94-120</v>
      </c>
      <c r="K188" s="2">
        <f t="shared" si="43"/>
        <v>-0.32</v>
      </c>
      <c r="L188">
        <v>240</v>
      </c>
      <c r="M188" t="str">
        <f t="shared" si="44"/>
        <v>201-250</v>
      </c>
      <c r="N188">
        <f t="shared" si="45"/>
        <v>0.17</v>
      </c>
      <c r="O188">
        <v>1</v>
      </c>
      <c r="P188">
        <f t="shared" si="46"/>
        <v>0.12</v>
      </c>
      <c r="Q188">
        <v>0</v>
      </c>
      <c r="R188">
        <f t="shared" si="47"/>
        <v>-0.36</v>
      </c>
      <c r="S188">
        <v>194</v>
      </c>
      <c r="T188" t="str">
        <f t="shared" si="48"/>
        <v>190+</v>
      </c>
      <c r="U188">
        <f t="shared" si="49"/>
        <v>2.11</v>
      </c>
      <c r="V188">
        <v>0</v>
      </c>
      <c r="W188">
        <f t="shared" si="50"/>
        <v>-0.64</v>
      </c>
      <c r="X188">
        <v>0.8</v>
      </c>
      <c r="Y188" t="str">
        <f t="shared" si="51"/>
        <v>0.1-1.5</v>
      </c>
      <c r="Z188">
        <f t="shared" si="52"/>
        <v>-0.48</v>
      </c>
      <c r="AA188">
        <v>2</v>
      </c>
      <c r="AB188">
        <f t="shared" si="53"/>
        <v>0.45</v>
      </c>
      <c r="AC188">
        <v>0</v>
      </c>
      <c r="AD188">
        <f t="shared" si="54"/>
        <v>-0.87</v>
      </c>
      <c r="AE188">
        <v>3</v>
      </c>
      <c r="AF188">
        <f t="shared" si="55"/>
        <v>1.32</v>
      </c>
      <c r="AG188">
        <v>0</v>
      </c>
      <c r="AH188" t="str">
        <f t="shared" si="56"/>
        <v>No</v>
      </c>
    </row>
    <row r="189" spans="1:34">
      <c r="A189">
        <v>188</v>
      </c>
      <c r="B189">
        <v>66</v>
      </c>
      <c r="C189" t="str">
        <f t="shared" si="38"/>
        <v>57-66</v>
      </c>
      <c r="D189">
        <f t="shared" si="39"/>
        <v>0.64</v>
      </c>
      <c r="E189">
        <v>1</v>
      </c>
      <c r="F189">
        <f t="shared" si="40"/>
        <v>0.38</v>
      </c>
      <c r="G189">
        <v>1</v>
      </c>
      <c r="H189">
        <f t="shared" si="41"/>
        <v>-1.35</v>
      </c>
      <c r="I189">
        <v>160</v>
      </c>
      <c r="J189" s="2" t="str">
        <f t="shared" si="42"/>
        <v>151-180</v>
      </c>
      <c r="K189" s="2">
        <f t="shared" si="43"/>
        <v>0.56999999999999995</v>
      </c>
      <c r="L189">
        <v>246</v>
      </c>
      <c r="M189" t="str">
        <f t="shared" si="44"/>
        <v>201-250</v>
      </c>
      <c r="N189">
        <f t="shared" si="45"/>
        <v>0.17</v>
      </c>
      <c r="O189">
        <v>0</v>
      </c>
      <c r="P189">
        <f t="shared" si="46"/>
        <v>-0.02</v>
      </c>
      <c r="Q189">
        <v>0</v>
      </c>
      <c r="R189">
        <f t="shared" si="47"/>
        <v>-0.36</v>
      </c>
      <c r="S189">
        <v>120</v>
      </c>
      <c r="T189" t="str">
        <f t="shared" si="48"/>
        <v>101-130</v>
      </c>
      <c r="U189">
        <f t="shared" si="49"/>
        <v>1.1499999999999999</v>
      </c>
      <c r="V189">
        <v>1</v>
      </c>
      <c r="W189">
        <f t="shared" si="50"/>
        <v>1.36</v>
      </c>
      <c r="X189">
        <v>0</v>
      </c>
      <c r="Y189" t="str">
        <f t="shared" si="51"/>
        <v>0.1-1.5</v>
      </c>
      <c r="Z189">
        <f t="shared" si="52"/>
        <v>-0.48</v>
      </c>
      <c r="AA189">
        <v>1</v>
      </c>
      <c r="AB189">
        <f t="shared" si="53"/>
        <v>0.78</v>
      </c>
      <c r="AC189">
        <v>3</v>
      </c>
      <c r="AD189">
        <f t="shared" si="54"/>
        <v>1.9</v>
      </c>
      <c r="AE189">
        <v>2</v>
      </c>
      <c r="AF189">
        <f t="shared" si="55"/>
        <v>0.86</v>
      </c>
      <c r="AG189">
        <v>1</v>
      </c>
      <c r="AH189" t="str">
        <f t="shared" si="56"/>
        <v>Yes</v>
      </c>
    </row>
    <row r="190" spans="1:34">
      <c r="A190">
        <v>189</v>
      </c>
      <c r="B190">
        <v>54</v>
      </c>
      <c r="C190" t="str">
        <f t="shared" si="38"/>
        <v>47-56</v>
      </c>
      <c r="D190">
        <f t="shared" si="39"/>
        <v>-0.28000000000000003</v>
      </c>
      <c r="E190">
        <v>1</v>
      </c>
      <c r="F190">
        <f t="shared" si="40"/>
        <v>0.38</v>
      </c>
      <c r="G190">
        <v>1</v>
      </c>
      <c r="H190">
        <f t="shared" si="41"/>
        <v>-1.35</v>
      </c>
      <c r="I190">
        <v>192</v>
      </c>
      <c r="J190" s="2" t="str">
        <f t="shared" si="42"/>
        <v>180+</v>
      </c>
      <c r="K190" s="2">
        <f t="shared" si="43"/>
        <v>1.55</v>
      </c>
      <c r="L190">
        <v>283</v>
      </c>
      <c r="M190" t="str">
        <f t="shared" si="44"/>
        <v>251-300</v>
      </c>
      <c r="N190">
        <f t="shared" si="45"/>
        <v>0.48</v>
      </c>
      <c r="O190">
        <v>0</v>
      </c>
      <c r="P190">
        <f t="shared" si="46"/>
        <v>-0.02</v>
      </c>
      <c r="Q190">
        <v>2</v>
      </c>
      <c r="R190">
        <f t="shared" si="47"/>
        <v>0.33</v>
      </c>
      <c r="S190">
        <v>195</v>
      </c>
      <c r="T190" t="str">
        <f t="shared" si="48"/>
        <v>190+</v>
      </c>
      <c r="U190">
        <f t="shared" si="49"/>
        <v>2.11</v>
      </c>
      <c r="V190">
        <v>0</v>
      </c>
      <c r="W190">
        <f t="shared" si="50"/>
        <v>-0.64</v>
      </c>
      <c r="X190">
        <v>0</v>
      </c>
      <c r="Y190" t="str">
        <f t="shared" si="51"/>
        <v>0.1-1.5</v>
      </c>
      <c r="Z190">
        <f t="shared" si="52"/>
        <v>-0.48</v>
      </c>
      <c r="AA190">
        <v>0</v>
      </c>
      <c r="AB190">
        <f t="shared" si="53"/>
        <v>-0.91</v>
      </c>
      <c r="AC190">
        <v>1</v>
      </c>
      <c r="AD190">
        <f t="shared" si="54"/>
        <v>0.91</v>
      </c>
      <c r="AE190">
        <v>3</v>
      </c>
      <c r="AF190">
        <f t="shared" si="55"/>
        <v>1.32</v>
      </c>
      <c r="AG190">
        <v>1</v>
      </c>
      <c r="AH190" t="str">
        <f t="shared" si="56"/>
        <v>Yes</v>
      </c>
    </row>
    <row r="191" spans="1:34">
      <c r="A191">
        <v>190</v>
      </c>
      <c r="B191">
        <v>69</v>
      </c>
      <c r="C191" t="str">
        <f t="shared" si="38"/>
        <v>66+</v>
      </c>
      <c r="D191">
        <f t="shared" si="39"/>
        <v>0.17</v>
      </c>
      <c r="E191">
        <v>1</v>
      </c>
      <c r="F191">
        <f t="shared" si="40"/>
        <v>0.38</v>
      </c>
      <c r="G191">
        <v>2</v>
      </c>
      <c r="H191">
        <f t="shared" si="41"/>
        <v>-1.1599999999999999</v>
      </c>
      <c r="I191">
        <v>140</v>
      </c>
      <c r="J191" s="2" t="str">
        <f t="shared" si="42"/>
        <v>121-150</v>
      </c>
      <c r="K191" s="2">
        <f t="shared" si="43"/>
        <v>0.04</v>
      </c>
      <c r="L191">
        <v>254</v>
      </c>
      <c r="M191" t="str">
        <f t="shared" si="44"/>
        <v>251-300</v>
      </c>
      <c r="N191">
        <f t="shared" si="45"/>
        <v>0.48</v>
      </c>
      <c r="O191">
        <v>0</v>
      </c>
      <c r="P191">
        <f t="shared" si="46"/>
        <v>-0.02</v>
      </c>
      <c r="Q191">
        <v>2</v>
      </c>
      <c r="R191">
        <f t="shared" si="47"/>
        <v>0.33</v>
      </c>
      <c r="S191">
        <v>146</v>
      </c>
      <c r="T191" t="str">
        <f t="shared" si="48"/>
        <v>131-160</v>
      </c>
      <c r="U191">
        <f t="shared" si="49"/>
        <v>0.2</v>
      </c>
      <c r="V191">
        <v>0</v>
      </c>
      <c r="W191">
        <f t="shared" si="50"/>
        <v>-0.64</v>
      </c>
      <c r="X191">
        <v>2</v>
      </c>
      <c r="Y191" t="str">
        <f t="shared" si="51"/>
        <v>1.6-2.8</v>
      </c>
      <c r="Z191">
        <f t="shared" si="52"/>
        <v>0.99</v>
      </c>
      <c r="AA191">
        <v>1</v>
      </c>
      <c r="AB191">
        <f t="shared" si="53"/>
        <v>0.78</v>
      </c>
      <c r="AC191">
        <v>3</v>
      </c>
      <c r="AD191">
        <f t="shared" si="54"/>
        <v>1.9</v>
      </c>
      <c r="AE191">
        <v>3</v>
      </c>
      <c r="AF191">
        <f t="shared" si="55"/>
        <v>1.32</v>
      </c>
      <c r="AG191">
        <v>1</v>
      </c>
      <c r="AH191" t="str">
        <f t="shared" si="56"/>
        <v>Yes</v>
      </c>
    </row>
    <row r="192" spans="1:34">
      <c r="A192">
        <v>191</v>
      </c>
      <c r="B192">
        <v>50</v>
      </c>
      <c r="C192" t="str">
        <f t="shared" si="38"/>
        <v>47-56</v>
      </c>
      <c r="D192">
        <f t="shared" si="39"/>
        <v>-0.28000000000000003</v>
      </c>
      <c r="E192">
        <v>1</v>
      </c>
      <c r="F192">
        <f t="shared" si="40"/>
        <v>0.38</v>
      </c>
      <c r="G192">
        <v>2</v>
      </c>
      <c r="H192">
        <f t="shared" si="41"/>
        <v>-1.1599999999999999</v>
      </c>
      <c r="I192">
        <v>129</v>
      </c>
      <c r="J192" s="2" t="str">
        <f t="shared" si="42"/>
        <v>121-150</v>
      </c>
      <c r="K192" s="2">
        <f t="shared" si="43"/>
        <v>0.04</v>
      </c>
      <c r="L192">
        <v>196</v>
      </c>
      <c r="M192" t="str">
        <f t="shared" si="44"/>
        <v>126-200</v>
      </c>
      <c r="N192">
        <f t="shared" si="45"/>
        <v>-0.16</v>
      </c>
      <c r="O192">
        <v>0</v>
      </c>
      <c r="P192">
        <f t="shared" si="46"/>
        <v>-0.02</v>
      </c>
      <c r="Q192">
        <v>0</v>
      </c>
      <c r="R192">
        <f t="shared" si="47"/>
        <v>-0.36</v>
      </c>
      <c r="S192">
        <v>163</v>
      </c>
      <c r="T192" t="str">
        <f t="shared" si="48"/>
        <v>161-190</v>
      </c>
      <c r="U192">
        <f t="shared" si="49"/>
        <v>-1.01</v>
      </c>
      <c r="V192">
        <v>0</v>
      </c>
      <c r="W192">
        <f t="shared" si="50"/>
        <v>-0.64</v>
      </c>
      <c r="X192">
        <v>0</v>
      </c>
      <c r="Y192" t="str">
        <f t="shared" si="51"/>
        <v>0.1-1.5</v>
      </c>
      <c r="Z192">
        <f t="shared" si="52"/>
        <v>-0.48</v>
      </c>
      <c r="AA192">
        <v>0</v>
      </c>
      <c r="AB192">
        <f t="shared" si="53"/>
        <v>-0.91</v>
      </c>
      <c r="AC192">
        <v>0</v>
      </c>
      <c r="AD192">
        <f t="shared" si="54"/>
        <v>-0.87</v>
      </c>
      <c r="AE192">
        <v>1</v>
      </c>
      <c r="AF192">
        <f t="shared" si="55"/>
        <v>-1.06</v>
      </c>
      <c r="AG192">
        <v>0</v>
      </c>
      <c r="AH192" t="str">
        <f t="shared" si="56"/>
        <v>No</v>
      </c>
    </row>
    <row r="193" spans="1:34">
      <c r="A193">
        <v>192</v>
      </c>
      <c r="B193">
        <v>51</v>
      </c>
      <c r="C193" t="str">
        <f t="shared" si="38"/>
        <v>47-56</v>
      </c>
      <c r="D193">
        <f t="shared" si="39"/>
        <v>-0.28000000000000003</v>
      </c>
      <c r="E193">
        <v>1</v>
      </c>
      <c r="F193">
        <f t="shared" si="40"/>
        <v>0.38</v>
      </c>
      <c r="G193">
        <v>3</v>
      </c>
      <c r="H193">
        <f t="shared" si="41"/>
        <v>1.1599999999999999</v>
      </c>
      <c r="I193">
        <v>140</v>
      </c>
      <c r="J193" s="2" t="str">
        <f t="shared" si="42"/>
        <v>121-150</v>
      </c>
      <c r="K193" s="2">
        <f t="shared" si="43"/>
        <v>0.04</v>
      </c>
      <c r="L193">
        <v>298</v>
      </c>
      <c r="M193" t="str">
        <f t="shared" si="44"/>
        <v>251-300</v>
      </c>
      <c r="N193">
        <f t="shared" si="45"/>
        <v>0.48</v>
      </c>
      <c r="O193">
        <v>0</v>
      </c>
      <c r="P193">
        <f t="shared" si="46"/>
        <v>-0.02</v>
      </c>
      <c r="Q193">
        <v>0</v>
      </c>
      <c r="R193">
        <f t="shared" si="47"/>
        <v>-0.36</v>
      </c>
      <c r="S193">
        <v>122</v>
      </c>
      <c r="T193" t="str">
        <f t="shared" si="48"/>
        <v>101-130</v>
      </c>
      <c r="U193">
        <f t="shared" si="49"/>
        <v>1.1499999999999999</v>
      </c>
      <c r="V193">
        <v>1</v>
      </c>
      <c r="W193">
        <f t="shared" si="50"/>
        <v>1.36</v>
      </c>
      <c r="X193">
        <v>4.2</v>
      </c>
      <c r="Y193" t="str">
        <f t="shared" si="51"/>
        <v>4+</v>
      </c>
      <c r="Z193">
        <f t="shared" si="52"/>
        <v>1.55</v>
      </c>
      <c r="AA193">
        <v>1</v>
      </c>
      <c r="AB193">
        <f t="shared" si="53"/>
        <v>0.78</v>
      </c>
      <c r="AC193">
        <v>3</v>
      </c>
      <c r="AD193">
        <f t="shared" si="54"/>
        <v>1.9</v>
      </c>
      <c r="AE193">
        <v>3</v>
      </c>
      <c r="AF193">
        <f t="shared" si="55"/>
        <v>1.32</v>
      </c>
      <c r="AG193">
        <v>1</v>
      </c>
      <c r="AH193" t="str">
        <f t="shared" si="56"/>
        <v>Yes</v>
      </c>
    </row>
    <row r="194" spans="1:34">
      <c r="A194">
        <v>193</v>
      </c>
      <c r="B194">
        <v>43</v>
      </c>
      <c r="C194" t="str">
        <f t="shared" si="38"/>
        <v>37-46</v>
      </c>
      <c r="D194">
        <f t="shared" si="39"/>
        <v>-0.83</v>
      </c>
      <c r="E194">
        <v>1</v>
      </c>
      <c r="F194">
        <f t="shared" si="40"/>
        <v>0.38</v>
      </c>
      <c r="G194">
        <v>3</v>
      </c>
      <c r="H194">
        <f t="shared" si="41"/>
        <v>1.1599999999999999</v>
      </c>
      <c r="I194">
        <v>132</v>
      </c>
      <c r="J194" s="2" t="str">
        <f t="shared" si="42"/>
        <v>121-150</v>
      </c>
      <c r="K194" s="2">
        <f t="shared" si="43"/>
        <v>0.04</v>
      </c>
      <c r="L194">
        <v>247</v>
      </c>
      <c r="M194" t="str">
        <f t="shared" si="44"/>
        <v>201-250</v>
      </c>
      <c r="N194">
        <f t="shared" si="45"/>
        <v>0.17</v>
      </c>
      <c r="O194">
        <v>1</v>
      </c>
      <c r="P194">
        <f t="shared" si="46"/>
        <v>0.12</v>
      </c>
      <c r="Q194">
        <v>2</v>
      </c>
      <c r="R194">
        <f t="shared" si="47"/>
        <v>0.33</v>
      </c>
      <c r="S194">
        <v>143</v>
      </c>
      <c r="T194" t="str">
        <f t="shared" si="48"/>
        <v>131-160</v>
      </c>
      <c r="U194">
        <f t="shared" si="49"/>
        <v>0.2</v>
      </c>
      <c r="V194">
        <v>1</v>
      </c>
      <c r="W194">
        <f t="shared" si="50"/>
        <v>1.36</v>
      </c>
      <c r="X194">
        <v>0.1</v>
      </c>
      <c r="Y194" t="str">
        <f t="shared" si="51"/>
        <v>0.1-1.5</v>
      </c>
      <c r="Z194">
        <f t="shared" si="52"/>
        <v>-0.48</v>
      </c>
      <c r="AA194">
        <v>1</v>
      </c>
      <c r="AB194">
        <f t="shared" si="53"/>
        <v>0.78</v>
      </c>
      <c r="AC194">
        <v>0</v>
      </c>
      <c r="AD194">
        <f t="shared" si="54"/>
        <v>-0.87</v>
      </c>
      <c r="AE194">
        <v>3</v>
      </c>
      <c r="AF194">
        <f t="shared" si="55"/>
        <v>1.32</v>
      </c>
      <c r="AG194">
        <v>1</v>
      </c>
      <c r="AH194" t="str">
        <f t="shared" si="56"/>
        <v>Yes</v>
      </c>
    </row>
    <row r="195" spans="1:34">
      <c r="A195">
        <v>194</v>
      </c>
      <c r="B195">
        <v>62</v>
      </c>
      <c r="C195" t="str">
        <f t="shared" ref="C195:C258" si="57">IF(B195&lt;37,"27-36",IF(B195&lt;47,"37-46",IF(B195&lt;57,"47-56",IF(B195&lt;67,"57-66","66+"))))</f>
        <v>57-66</v>
      </c>
      <c r="D195">
        <f t="shared" ref="D195:D258" si="58">IF(C195="27-36",-0.75,IF(C195="37-46",-0.83,IF(C195="47-56",-0.28,IF(C195="57-66",0.64,0.17))))</f>
        <v>0.64</v>
      </c>
      <c r="E195">
        <v>0</v>
      </c>
      <c r="F195">
        <f t="shared" ref="F195:F258" si="59">IF(E195=1,0.38,-0.89)</f>
        <v>-0.89</v>
      </c>
      <c r="G195">
        <v>3</v>
      </c>
      <c r="H195">
        <f t="shared" ref="H195:H258" si="60">IF(G195=0,-0.66,IF(G195=1,-1.35,IF(G195=2,-1.16,1.16)))</f>
        <v>1.1599999999999999</v>
      </c>
      <c r="I195">
        <v>138</v>
      </c>
      <c r="J195" s="2" t="str">
        <f t="shared" ref="J195:J258" si="61">IF(I195&lt;=120,"94-120",IF(I195&lt;=150,"121-150",IF(I195&lt;180,"151-180","180+")))</f>
        <v>121-150</v>
      </c>
      <c r="K195" s="2">
        <f t="shared" ref="K195:K258" si="62">IF(J195="121-150",0.04,IF(J195="151-180",0.57,IF(J195="94-120",-0.32,1.55)))</f>
        <v>0.04</v>
      </c>
      <c r="L195">
        <v>294</v>
      </c>
      <c r="M195" t="str">
        <f t="shared" ref="M195:M258" si="63">IF(L195&lt;=200,"126-200",IF(L195&lt;=250,"201-250",IF(L195&lt;=300,"251-300",IF(L195&lt;=350,"351-400","400+"))))</f>
        <v>251-300</v>
      </c>
      <c r="N195">
        <f t="shared" ref="N195:N258" si="64">IF(M195="126-200",-0.16,IF(M195="201,250",-0.29,IF(M195="251-300",0.48,IF(M195="400+",-0.35,0.17))))</f>
        <v>0.48</v>
      </c>
      <c r="O195">
        <v>1</v>
      </c>
      <c r="P195">
        <f t="shared" ref="P195:P258" si="65">IF(O195=1,0.12,-0.02)</f>
        <v>0.12</v>
      </c>
      <c r="Q195">
        <v>0</v>
      </c>
      <c r="R195">
        <f t="shared" ref="R195:R258" si="66">IF(Q195=0,-0.36,IF(Q195=1,1.26,0.33))</f>
        <v>-0.36</v>
      </c>
      <c r="S195">
        <v>106</v>
      </c>
      <c r="T195" t="str">
        <f t="shared" ref="T195:T258" si="67">IF(S195&lt;=100,"71-100",IF(S195&lt;=130,"101-130",IF(S195&lt;=160,"131-160",IF(S195&lt;=190,"161-190","190+"))))</f>
        <v>101-130</v>
      </c>
      <c r="U195">
        <f t="shared" ref="U195:U258" si="68">IF(T195="101-130",1.15,IF(T195="131-160",0.2,IF(T195="161-190",-1.01,IF(T195="190",-0.93,2.11))))</f>
        <v>1.1499999999999999</v>
      </c>
      <c r="V195">
        <v>0</v>
      </c>
      <c r="W195">
        <f t="shared" ref="W195:W258" si="69">IF(V195=0,-0.64,1.36)</f>
        <v>-0.64</v>
      </c>
      <c r="X195">
        <v>1.9</v>
      </c>
      <c r="Y195" t="str">
        <f t="shared" ref="Y195:Y258" si="70">IF(X195&lt;=1.5,"0.1-1.5",IF(X195&lt;=2.8,"1.6-2.8",IF(X195&lt;=4,"2.9-4","4+")))</f>
        <v>1.6-2.8</v>
      </c>
      <c r="Z195">
        <f t="shared" ref="Z195:Z258" si="71">IF(Y195="1.6-2.8",0.99,IF(Y195="0.1-1.5",-0.48,IF(Y195="2.9-4",2.42,1.55)))</f>
        <v>0.99</v>
      </c>
      <c r="AA195">
        <v>1</v>
      </c>
      <c r="AB195">
        <f t="shared" ref="AB195:AB258" si="72">IF(AA195=1,0.78,IF(AA195=0,-0.91,0.45))</f>
        <v>0.78</v>
      </c>
      <c r="AC195">
        <v>3</v>
      </c>
      <c r="AD195">
        <f t="shared" ref="AD195:AD258" si="73">IF(AC195=0,-0.87,IF(AC195=1,0.91,IF(AC195=2,1.65,1.9)))</f>
        <v>1.9</v>
      </c>
      <c r="AE195">
        <v>1</v>
      </c>
      <c r="AF195">
        <f t="shared" ref="AF195:AF258" si="74">IF(AE195=2,0.86,IF(AE195=1,-1.06,1.32))</f>
        <v>-1.06</v>
      </c>
      <c r="AG195">
        <v>1</v>
      </c>
      <c r="AH195" t="str">
        <f t="shared" ref="AH195:AH258" si="75">IF(AG195=1,"Yes","No")</f>
        <v>Yes</v>
      </c>
    </row>
    <row r="196" spans="1:34">
      <c r="A196">
        <v>195</v>
      </c>
      <c r="B196">
        <v>68</v>
      </c>
      <c r="C196" t="str">
        <f t="shared" si="57"/>
        <v>66+</v>
      </c>
      <c r="D196">
        <f t="shared" si="58"/>
        <v>0.17</v>
      </c>
      <c r="E196">
        <v>0</v>
      </c>
      <c r="F196">
        <f t="shared" si="59"/>
        <v>-0.89</v>
      </c>
      <c r="G196">
        <v>2</v>
      </c>
      <c r="H196">
        <f t="shared" si="60"/>
        <v>-1.1599999999999999</v>
      </c>
      <c r="I196">
        <v>120</v>
      </c>
      <c r="J196" s="2" t="str">
        <f t="shared" si="61"/>
        <v>94-120</v>
      </c>
      <c r="K196" s="2">
        <f t="shared" si="62"/>
        <v>-0.32</v>
      </c>
      <c r="L196">
        <v>211</v>
      </c>
      <c r="M196" t="str">
        <f t="shared" si="63"/>
        <v>201-250</v>
      </c>
      <c r="N196">
        <f t="shared" si="64"/>
        <v>0.17</v>
      </c>
      <c r="O196">
        <v>0</v>
      </c>
      <c r="P196">
        <f t="shared" si="65"/>
        <v>-0.02</v>
      </c>
      <c r="Q196">
        <v>2</v>
      </c>
      <c r="R196">
        <f t="shared" si="66"/>
        <v>0.33</v>
      </c>
      <c r="S196">
        <v>115</v>
      </c>
      <c r="T196" t="str">
        <f t="shared" si="67"/>
        <v>101-130</v>
      </c>
      <c r="U196">
        <f t="shared" si="68"/>
        <v>1.1499999999999999</v>
      </c>
      <c r="V196">
        <v>0</v>
      </c>
      <c r="W196">
        <f t="shared" si="69"/>
        <v>-0.64</v>
      </c>
      <c r="X196">
        <v>1.5</v>
      </c>
      <c r="Y196" t="str">
        <f t="shared" si="70"/>
        <v>0.1-1.5</v>
      </c>
      <c r="Z196">
        <f t="shared" si="71"/>
        <v>-0.48</v>
      </c>
      <c r="AA196">
        <v>1</v>
      </c>
      <c r="AB196">
        <f t="shared" si="72"/>
        <v>0.78</v>
      </c>
      <c r="AC196">
        <v>0</v>
      </c>
      <c r="AD196">
        <f t="shared" si="73"/>
        <v>-0.87</v>
      </c>
      <c r="AE196">
        <v>1</v>
      </c>
      <c r="AF196">
        <f t="shared" si="74"/>
        <v>-1.06</v>
      </c>
      <c r="AG196">
        <v>0</v>
      </c>
      <c r="AH196" t="str">
        <f t="shared" si="75"/>
        <v>No</v>
      </c>
    </row>
    <row r="197" spans="1:34">
      <c r="A197">
        <v>196</v>
      </c>
      <c r="B197">
        <v>67</v>
      </c>
      <c r="C197" t="str">
        <f t="shared" si="57"/>
        <v>66+</v>
      </c>
      <c r="D197">
        <f t="shared" si="58"/>
        <v>0.17</v>
      </c>
      <c r="E197">
        <v>1</v>
      </c>
      <c r="F197">
        <f t="shared" si="59"/>
        <v>0.38</v>
      </c>
      <c r="G197">
        <v>3</v>
      </c>
      <c r="H197">
        <f t="shared" si="60"/>
        <v>1.1599999999999999</v>
      </c>
      <c r="I197">
        <v>100</v>
      </c>
      <c r="J197" s="2" t="str">
        <f t="shared" si="61"/>
        <v>94-120</v>
      </c>
      <c r="K197" s="2">
        <f t="shared" si="62"/>
        <v>-0.32</v>
      </c>
      <c r="L197">
        <v>299</v>
      </c>
      <c r="M197" t="str">
        <f t="shared" si="63"/>
        <v>251-300</v>
      </c>
      <c r="N197">
        <f t="shared" si="64"/>
        <v>0.48</v>
      </c>
      <c r="O197">
        <v>0</v>
      </c>
      <c r="P197">
        <f t="shared" si="65"/>
        <v>-0.02</v>
      </c>
      <c r="Q197">
        <v>2</v>
      </c>
      <c r="R197">
        <f t="shared" si="66"/>
        <v>0.33</v>
      </c>
      <c r="S197">
        <v>125</v>
      </c>
      <c r="T197" t="str">
        <f t="shared" si="67"/>
        <v>101-130</v>
      </c>
      <c r="U197">
        <f t="shared" si="68"/>
        <v>1.1499999999999999</v>
      </c>
      <c r="V197">
        <v>1</v>
      </c>
      <c r="W197">
        <f t="shared" si="69"/>
        <v>1.36</v>
      </c>
      <c r="X197">
        <v>0.9</v>
      </c>
      <c r="Y197" t="str">
        <f t="shared" si="70"/>
        <v>0.1-1.5</v>
      </c>
      <c r="Z197">
        <f t="shared" si="71"/>
        <v>-0.48</v>
      </c>
      <c r="AA197">
        <v>1</v>
      </c>
      <c r="AB197">
        <f t="shared" si="72"/>
        <v>0.78</v>
      </c>
      <c r="AC197">
        <v>2</v>
      </c>
      <c r="AD197">
        <f t="shared" si="73"/>
        <v>1.65</v>
      </c>
      <c r="AE197">
        <v>1</v>
      </c>
      <c r="AF197">
        <f t="shared" si="74"/>
        <v>-1.06</v>
      </c>
      <c r="AG197">
        <v>1</v>
      </c>
      <c r="AH197" t="str">
        <f t="shared" si="75"/>
        <v>Yes</v>
      </c>
    </row>
    <row r="198" spans="1:34">
      <c r="A198">
        <v>197</v>
      </c>
      <c r="B198">
        <v>69</v>
      </c>
      <c r="C198" t="str">
        <f t="shared" si="57"/>
        <v>66+</v>
      </c>
      <c r="D198">
        <f t="shared" si="58"/>
        <v>0.17</v>
      </c>
      <c r="E198">
        <v>1</v>
      </c>
      <c r="F198">
        <f t="shared" si="59"/>
        <v>0.38</v>
      </c>
      <c r="G198">
        <v>0</v>
      </c>
      <c r="H198">
        <f t="shared" si="60"/>
        <v>-0.66</v>
      </c>
      <c r="I198">
        <v>160</v>
      </c>
      <c r="J198" s="2" t="str">
        <f t="shared" si="61"/>
        <v>151-180</v>
      </c>
      <c r="K198" s="2">
        <f t="shared" si="62"/>
        <v>0.56999999999999995</v>
      </c>
      <c r="L198">
        <v>234</v>
      </c>
      <c r="M198" t="str">
        <f t="shared" si="63"/>
        <v>201-250</v>
      </c>
      <c r="N198">
        <f t="shared" si="64"/>
        <v>0.17</v>
      </c>
      <c r="O198">
        <v>1</v>
      </c>
      <c r="P198">
        <f t="shared" si="65"/>
        <v>0.12</v>
      </c>
      <c r="Q198">
        <v>2</v>
      </c>
      <c r="R198">
        <f t="shared" si="66"/>
        <v>0.33</v>
      </c>
      <c r="S198">
        <v>131</v>
      </c>
      <c r="T198" t="str">
        <f t="shared" si="67"/>
        <v>131-160</v>
      </c>
      <c r="U198">
        <f t="shared" si="68"/>
        <v>0.2</v>
      </c>
      <c r="V198">
        <v>0</v>
      </c>
      <c r="W198">
        <f t="shared" si="69"/>
        <v>-0.64</v>
      </c>
      <c r="X198">
        <v>0.1</v>
      </c>
      <c r="Y198" t="str">
        <f t="shared" si="70"/>
        <v>0.1-1.5</v>
      </c>
      <c r="Z198">
        <f t="shared" si="71"/>
        <v>-0.48</v>
      </c>
      <c r="AA198">
        <v>1</v>
      </c>
      <c r="AB198">
        <f t="shared" si="72"/>
        <v>0.78</v>
      </c>
      <c r="AC198">
        <v>1</v>
      </c>
      <c r="AD198">
        <f t="shared" si="73"/>
        <v>0.91</v>
      </c>
      <c r="AE198">
        <v>1</v>
      </c>
      <c r="AF198">
        <f t="shared" si="74"/>
        <v>-1.06</v>
      </c>
      <c r="AG198">
        <v>0</v>
      </c>
      <c r="AH198" t="str">
        <f t="shared" si="75"/>
        <v>No</v>
      </c>
    </row>
    <row r="199" spans="1:34">
      <c r="A199">
        <v>198</v>
      </c>
      <c r="B199">
        <v>45</v>
      </c>
      <c r="C199" t="str">
        <f t="shared" si="57"/>
        <v>37-46</v>
      </c>
      <c r="D199">
        <f t="shared" si="58"/>
        <v>-0.83</v>
      </c>
      <c r="E199">
        <v>0</v>
      </c>
      <c r="F199">
        <f t="shared" si="59"/>
        <v>-0.89</v>
      </c>
      <c r="G199">
        <v>3</v>
      </c>
      <c r="H199">
        <f t="shared" si="60"/>
        <v>1.1599999999999999</v>
      </c>
      <c r="I199">
        <v>138</v>
      </c>
      <c r="J199" s="2" t="str">
        <f t="shared" si="61"/>
        <v>121-150</v>
      </c>
      <c r="K199" s="2">
        <f t="shared" si="62"/>
        <v>0.04</v>
      </c>
      <c r="L199">
        <v>236</v>
      </c>
      <c r="M199" t="str">
        <f t="shared" si="63"/>
        <v>201-250</v>
      </c>
      <c r="N199">
        <f t="shared" si="64"/>
        <v>0.17</v>
      </c>
      <c r="O199">
        <v>0</v>
      </c>
      <c r="P199">
        <f t="shared" si="65"/>
        <v>-0.02</v>
      </c>
      <c r="Q199">
        <v>2</v>
      </c>
      <c r="R199">
        <f t="shared" si="66"/>
        <v>0.33</v>
      </c>
      <c r="S199">
        <v>152</v>
      </c>
      <c r="T199" t="str">
        <f t="shared" si="67"/>
        <v>131-160</v>
      </c>
      <c r="U199">
        <f t="shared" si="68"/>
        <v>0.2</v>
      </c>
      <c r="V199">
        <v>1</v>
      </c>
      <c r="W199">
        <f t="shared" si="69"/>
        <v>1.36</v>
      </c>
      <c r="X199">
        <v>0.2</v>
      </c>
      <c r="Y199" t="str">
        <f t="shared" si="70"/>
        <v>0.1-1.5</v>
      </c>
      <c r="Z199">
        <f t="shared" si="71"/>
        <v>-0.48</v>
      </c>
      <c r="AA199">
        <v>1</v>
      </c>
      <c r="AB199">
        <f t="shared" si="72"/>
        <v>0.78</v>
      </c>
      <c r="AC199">
        <v>0</v>
      </c>
      <c r="AD199">
        <f t="shared" si="73"/>
        <v>-0.87</v>
      </c>
      <c r="AE199">
        <v>1</v>
      </c>
      <c r="AF199">
        <f t="shared" si="74"/>
        <v>-1.06</v>
      </c>
      <c r="AG199">
        <v>0</v>
      </c>
      <c r="AH199" t="str">
        <f t="shared" si="75"/>
        <v>No</v>
      </c>
    </row>
    <row r="200" spans="1:34">
      <c r="A200">
        <v>199</v>
      </c>
      <c r="B200">
        <v>50</v>
      </c>
      <c r="C200" t="str">
        <f t="shared" si="57"/>
        <v>47-56</v>
      </c>
      <c r="D200">
        <f t="shared" si="58"/>
        <v>-0.28000000000000003</v>
      </c>
      <c r="E200">
        <v>0</v>
      </c>
      <c r="F200">
        <f t="shared" si="59"/>
        <v>-0.89</v>
      </c>
      <c r="G200">
        <v>1</v>
      </c>
      <c r="H200">
        <f t="shared" si="60"/>
        <v>-1.35</v>
      </c>
      <c r="I200">
        <v>120</v>
      </c>
      <c r="J200" s="2" t="str">
        <f t="shared" si="61"/>
        <v>94-120</v>
      </c>
      <c r="K200" s="2">
        <f t="shared" si="62"/>
        <v>-0.32</v>
      </c>
      <c r="L200">
        <v>244</v>
      </c>
      <c r="M200" t="str">
        <f t="shared" si="63"/>
        <v>201-250</v>
      </c>
      <c r="N200">
        <f t="shared" si="64"/>
        <v>0.17</v>
      </c>
      <c r="O200">
        <v>0</v>
      </c>
      <c r="P200">
        <f t="shared" si="65"/>
        <v>-0.02</v>
      </c>
      <c r="Q200">
        <v>0</v>
      </c>
      <c r="R200">
        <f t="shared" si="66"/>
        <v>-0.36</v>
      </c>
      <c r="S200">
        <v>162</v>
      </c>
      <c r="T200" t="str">
        <f t="shared" si="67"/>
        <v>161-190</v>
      </c>
      <c r="U200">
        <f t="shared" si="68"/>
        <v>-1.01</v>
      </c>
      <c r="V200">
        <v>0</v>
      </c>
      <c r="W200">
        <f t="shared" si="69"/>
        <v>-0.64</v>
      </c>
      <c r="X200">
        <v>1.1000000000000001</v>
      </c>
      <c r="Y200" t="str">
        <f t="shared" si="70"/>
        <v>0.1-1.5</v>
      </c>
      <c r="Z200">
        <f t="shared" si="71"/>
        <v>-0.48</v>
      </c>
      <c r="AA200">
        <v>0</v>
      </c>
      <c r="AB200">
        <f t="shared" si="72"/>
        <v>-0.91</v>
      </c>
      <c r="AC200">
        <v>0</v>
      </c>
      <c r="AD200">
        <f t="shared" si="73"/>
        <v>-0.87</v>
      </c>
      <c r="AE200">
        <v>1</v>
      </c>
      <c r="AF200">
        <f t="shared" si="74"/>
        <v>-1.06</v>
      </c>
      <c r="AG200">
        <v>0</v>
      </c>
      <c r="AH200" t="str">
        <f t="shared" si="75"/>
        <v>No</v>
      </c>
    </row>
    <row r="201" spans="1:34">
      <c r="A201">
        <v>200</v>
      </c>
      <c r="B201">
        <v>59</v>
      </c>
      <c r="C201" t="str">
        <f t="shared" si="57"/>
        <v>57-66</v>
      </c>
      <c r="D201">
        <f t="shared" si="58"/>
        <v>0.64</v>
      </c>
      <c r="E201">
        <v>1</v>
      </c>
      <c r="F201">
        <f t="shared" si="59"/>
        <v>0.38</v>
      </c>
      <c r="G201">
        <v>0</v>
      </c>
      <c r="H201">
        <f t="shared" si="60"/>
        <v>-0.66</v>
      </c>
      <c r="I201">
        <v>160</v>
      </c>
      <c r="J201" s="2" t="str">
        <f t="shared" si="61"/>
        <v>151-180</v>
      </c>
      <c r="K201" s="2">
        <f t="shared" si="62"/>
        <v>0.56999999999999995</v>
      </c>
      <c r="L201">
        <v>273</v>
      </c>
      <c r="M201" t="str">
        <f t="shared" si="63"/>
        <v>251-300</v>
      </c>
      <c r="N201">
        <f t="shared" si="64"/>
        <v>0.48</v>
      </c>
      <c r="O201">
        <v>0</v>
      </c>
      <c r="P201">
        <f t="shared" si="65"/>
        <v>-0.02</v>
      </c>
      <c r="Q201">
        <v>2</v>
      </c>
      <c r="R201">
        <f t="shared" si="66"/>
        <v>0.33</v>
      </c>
      <c r="S201">
        <v>125</v>
      </c>
      <c r="T201" t="str">
        <f t="shared" si="67"/>
        <v>101-130</v>
      </c>
      <c r="U201">
        <f t="shared" si="68"/>
        <v>1.1499999999999999</v>
      </c>
      <c r="V201">
        <v>0</v>
      </c>
      <c r="W201">
        <f t="shared" si="69"/>
        <v>-0.64</v>
      </c>
      <c r="X201">
        <v>0</v>
      </c>
      <c r="Y201" t="str">
        <f t="shared" si="70"/>
        <v>0.1-1.5</v>
      </c>
      <c r="Z201">
        <f t="shared" si="71"/>
        <v>-0.48</v>
      </c>
      <c r="AA201">
        <v>0</v>
      </c>
      <c r="AB201">
        <f t="shared" si="72"/>
        <v>-0.91</v>
      </c>
      <c r="AC201">
        <v>0</v>
      </c>
      <c r="AD201">
        <f t="shared" si="73"/>
        <v>-0.87</v>
      </c>
      <c r="AE201">
        <v>1</v>
      </c>
      <c r="AF201">
        <f t="shared" si="74"/>
        <v>-1.06</v>
      </c>
      <c r="AG201">
        <v>1</v>
      </c>
      <c r="AH201" t="str">
        <f t="shared" si="75"/>
        <v>Yes</v>
      </c>
    </row>
    <row r="202" spans="1:34">
      <c r="A202">
        <v>201</v>
      </c>
      <c r="B202">
        <v>50</v>
      </c>
      <c r="C202" t="str">
        <f t="shared" si="57"/>
        <v>47-56</v>
      </c>
      <c r="D202">
        <f t="shared" si="58"/>
        <v>-0.28000000000000003</v>
      </c>
      <c r="E202">
        <v>0</v>
      </c>
      <c r="F202">
        <f t="shared" si="59"/>
        <v>-0.89</v>
      </c>
      <c r="G202">
        <v>3</v>
      </c>
      <c r="H202">
        <f t="shared" si="60"/>
        <v>1.1599999999999999</v>
      </c>
      <c r="I202">
        <v>110</v>
      </c>
      <c r="J202" s="2" t="str">
        <f t="shared" si="61"/>
        <v>94-120</v>
      </c>
      <c r="K202" s="2">
        <f t="shared" si="62"/>
        <v>-0.32</v>
      </c>
      <c r="L202">
        <v>254</v>
      </c>
      <c r="M202" t="str">
        <f t="shared" si="63"/>
        <v>251-300</v>
      </c>
      <c r="N202">
        <f t="shared" si="64"/>
        <v>0.48</v>
      </c>
      <c r="O202">
        <v>0</v>
      </c>
      <c r="P202">
        <f t="shared" si="65"/>
        <v>-0.02</v>
      </c>
      <c r="Q202">
        <v>2</v>
      </c>
      <c r="R202">
        <f t="shared" si="66"/>
        <v>0.33</v>
      </c>
      <c r="S202">
        <v>159</v>
      </c>
      <c r="T202" t="str">
        <f t="shared" si="67"/>
        <v>131-160</v>
      </c>
      <c r="U202">
        <f t="shared" si="68"/>
        <v>0.2</v>
      </c>
      <c r="V202">
        <v>0</v>
      </c>
      <c r="W202">
        <f t="shared" si="69"/>
        <v>-0.64</v>
      </c>
      <c r="X202">
        <v>0</v>
      </c>
      <c r="Y202" t="str">
        <f t="shared" si="70"/>
        <v>0.1-1.5</v>
      </c>
      <c r="Z202">
        <f t="shared" si="71"/>
        <v>-0.48</v>
      </c>
      <c r="AA202">
        <v>0</v>
      </c>
      <c r="AB202">
        <f t="shared" si="72"/>
        <v>-0.91</v>
      </c>
      <c r="AC202">
        <v>0</v>
      </c>
      <c r="AD202">
        <f t="shared" si="73"/>
        <v>-0.87</v>
      </c>
      <c r="AE202">
        <v>1</v>
      </c>
      <c r="AF202">
        <f t="shared" si="74"/>
        <v>-1.06</v>
      </c>
      <c r="AG202">
        <v>0</v>
      </c>
      <c r="AH202" t="str">
        <f t="shared" si="75"/>
        <v>No</v>
      </c>
    </row>
    <row r="203" spans="1:34">
      <c r="A203">
        <v>202</v>
      </c>
      <c r="B203">
        <v>64</v>
      </c>
      <c r="C203" t="str">
        <f t="shared" si="57"/>
        <v>57-66</v>
      </c>
      <c r="D203">
        <f t="shared" si="58"/>
        <v>0.64</v>
      </c>
      <c r="E203">
        <v>0</v>
      </c>
      <c r="F203">
        <f t="shared" si="59"/>
        <v>-0.89</v>
      </c>
      <c r="G203">
        <v>3</v>
      </c>
      <c r="H203">
        <f t="shared" si="60"/>
        <v>1.1599999999999999</v>
      </c>
      <c r="I203">
        <v>180</v>
      </c>
      <c r="J203" s="2" t="str">
        <f t="shared" si="61"/>
        <v>180+</v>
      </c>
      <c r="K203" s="2">
        <f t="shared" si="62"/>
        <v>1.55</v>
      </c>
      <c r="L203">
        <v>325</v>
      </c>
      <c r="M203" t="str">
        <f t="shared" si="63"/>
        <v>351-400</v>
      </c>
      <c r="N203">
        <f t="shared" si="64"/>
        <v>0.17</v>
      </c>
      <c r="O203">
        <v>0</v>
      </c>
      <c r="P203">
        <f t="shared" si="65"/>
        <v>-0.02</v>
      </c>
      <c r="Q203">
        <v>0</v>
      </c>
      <c r="R203">
        <f t="shared" si="66"/>
        <v>-0.36</v>
      </c>
      <c r="S203">
        <v>154</v>
      </c>
      <c r="T203" t="str">
        <f t="shared" si="67"/>
        <v>131-160</v>
      </c>
      <c r="U203">
        <f t="shared" si="68"/>
        <v>0.2</v>
      </c>
      <c r="V203">
        <v>1</v>
      </c>
      <c r="W203">
        <f t="shared" si="69"/>
        <v>1.36</v>
      </c>
      <c r="X203">
        <v>0</v>
      </c>
      <c r="Y203" t="str">
        <f t="shared" si="70"/>
        <v>0.1-1.5</v>
      </c>
      <c r="Z203">
        <f t="shared" si="71"/>
        <v>-0.48</v>
      </c>
      <c r="AA203">
        <v>0</v>
      </c>
      <c r="AB203">
        <f t="shared" si="72"/>
        <v>-0.91</v>
      </c>
      <c r="AC203">
        <v>0</v>
      </c>
      <c r="AD203">
        <f t="shared" si="73"/>
        <v>-0.87</v>
      </c>
      <c r="AE203">
        <v>1</v>
      </c>
      <c r="AF203">
        <f t="shared" si="74"/>
        <v>-1.06</v>
      </c>
      <c r="AG203">
        <v>0</v>
      </c>
      <c r="AH203" t="str">
        <f t="shared" si="75"/>
        <v>No</v>
      </c>
    </row>
    <row r="204" spans="1:34">
      <c r="A204">
        <v>203</v>
      </c>
      <c r="B204">
        <v>57</v>
      </c>
      <c r="C204" t="str">
        <f t="shared" si="57"/>
        <v>57-66</v>
      </c>
      <c r="D204">
        <f t="shared" si="58"/>
        <v>0.64</v>
      </c>
      <c r="E204">
        <v>1</v>
      </c>
      <c r="F204">
        <f t="shared" si="59"/>
        <v>0.38</v>
      </c>
      <c r="G204">
        <v>2</v>
      </c>
      <c r="H204">
        <f t="shared" si="60"/>
        <v>-1.1599999999999999</v>
      </c>
      <c r="I204">
        <v>150</v>
      </c>
      <c r="J204" s="2" t="str">
        <f t="shared" si="61"/>
        <v>121-150</v>
      </c>
      <c r="K204" s="2">
        <f t="shared" si="62"/>
        <v>0.04</v>
      </c>
      <c r="L204">
        <v>126</v>
      </c>
      <c r="M204" t="str">
        <f t="shared" si="63"/>
        <v>126-200</v>
      </c>
      <c r="N204">
        <f t="shared" si="64"/>
        <v>-0.16</v>
      </c>
      <c r="O204">
        <v>1</v>
      </c>
      <c r="P204">
        <f t="shared" si="65"/>
        <v>0.12</v>
      </c>
      <c r="Q204">
        <v>0</v>
      </c>
      <c r="R204">
        <f t="shared" si="66"/>
        <v>-0.36</v>
      </c>
      <c r="S204">
        <v>173</v>
      </c>
      <c r="T204" t="str">
        <f t="shared" si="67"/>
        <v>161-190</v>
      </c>
      <c r="U204">
        <f t="shared" si="68"/>
        <v>-1.01</v>
      </c>
      <c r="V204">
        <v>0</v>
      </c>
      <c r="W204">
        <f t="shared" si="69"/>
        <v>-0.64</v>
      </c>
      <c r="X204">
        <v>0.2</v>
      </c>
      <c r="Y204" t="str">
        <f t="shared" si="70"/>
        <v>0.1-1.5</v>
      </c>
      <c r="Z204">
        <f t="shared" si="71"/>
        <v>-0.48</v>
      </c>
      <c r="AA204">
        <v>0</v>
      </c>
      <c r="AB204">
        <f t="shared" si="72"/>
        <v>-0.91</v>
      </c>
      <c r="AC204">
        <v>1</v>
      </c>
      <c r="AD204">
        <f t="shared" si="73"/>
        <v>0.91</v>
      </c>
      <c r="AE204">
        <v>3</v>
      </c>
      <c r="AF204">
        <f t="shared" si="74"/>
        <v>1.32</v>
      </c>
      <c r="AG204">
        <v>0</v>
      </c>
      <c r="AH204" t="str">
        <f t="shared" si="75"/>
        <v>No</v>
      </c>
    </row>
    <row r="205" spans="1:34">
      <c r="A205">
        <v>204</v>
      </c>
      <c r="B205">
        <v>64</v>
      </c>
      <c r="C205" t="str">
        <f t="shared" si="57"/>
        <v>57-66</v>
      </c>
      <c r="D205">
        <f t="shared" si="58"/>
        <v>0.64</v>
      </c>
      <c r="E205">
        <v>0</v>
      </c>
      <c r="F205">
        <f t="shared" si="59"/>
        <v>-0.89</v>
      </c>
      <c r="G205">
        <v>2</v>
      </c>
      <c r="H205">
        <f t="shared" si="60"/>
        <v>-1.1599999999999999</v>
      </c>
      <c r="I205">
        <v>140</v>
      </c>
      <c r="J205" s="2" t="str">
        <f t="shared" si="61"/>
        <v>121-150</v>
      </c>
      <c r="K205" s="2">
        <f t="shared" si="62"/>
        <v>0.04</v>
      </c>
      <c r="L205">
        <v>313</v>
      </c>
      <c r="M205" t="str">
        <f t="shared" si="63"/>
        <v>351-400</v>
      </c>
      <c r="N205">
        <f t="shared" si="64"/>
        <v>0.17</v>
      </c>
      <c r="O205">
        <v>0</v>
      </c>
      <c r="P205">
        <f t="shared" si="65"/>
        <v>-0.02</v>
      </c>
      <c r="Q205">
        <v>0</v>
      </c>
      <c r="R205">
        <f t="shared" si="66"/>
        <v>-0.36</v>
      </c>
      <c r="S205">
        <v>133</v>
      </c>
      <c r="T205" t="str">
        <f t="shared" si="67"/>
        <v>131-160</v>
      </c>
      <c r="U205">
        <f t="shared" si="68"/>
        <v>0.2</v>
      </c>
      <c r="V205">
        <v>0</v>
      </c>
      <c r="W205">
        <f t="shared" si="69"/>
        <v>-0.64</v>
      </c>
      <c r="X205">
        <v>0.2</v>
      </c>
      <c r="Y205" t="str">
        <f t="shared" si="70"/>
        <v>0.1-1.5</v>
      </c>
      <c r="Z205">
        <f t="shared" si="71"/>
        <v>-0.48</v>
      </c>
      <c r="AA205">
        <v>0</v>
      </c>
      <c r="AB205">
        <f t="shared" si="72"/>
        <v>-0.91</v>
      </c>
      <c r="AC205">
        <v>0</v>
      </c>
      <c r="AD205">
        <f t="shared" si="73"/>
        <v>-0.87</v>
      </c>
      <c r="AE205">
        <v>3</v>
      </c>
      <c r="AF205">
        <f t="shared" si="74"/>
        <v>1.32</v>
      </c>
      <c r="AG205">
        <v>0</v>
      </c>
      <c r="AH205" t="str">
        <f t="shared" si="75"/>
        <v>No</v>
      </c>
    </row>
    <row r="206" spans="1:34">
      <c r="A206">
        <v>205</v>
      </c>
      <c r="B206">
        <v>43</v>
      </c>
      <c r="C206" t="str">
        <f t="shared" si="57"/>
        <v>37-46</v>
      </c>
      <c r="D206">
        <f t="shared" si="58"/>
        <v>-0.83</v>
      </c>
      <c r="E206">
        <v>1</v>
      </c>
      <c r="F206">
        <f t="shared" si="59"/>
        <v>0.38</v>
      </c>
      <c r="G206">
        <v>3</v>
      </c>
      <c r="H206">
        <f t="shared" si="60"/>
        <v>1.1599999999999999</v>
      </c>
      <c r="I206">
        <v>110</v>
      </c>
      <c r="J206" s="2" t="str">
        <f t="shared" si="61"/>
        <v>94-120</v>
      </c>
      <c r="K206" s="2">
        <f t="shared" si="62"/>
        <v>-0.32</v>
      </c>
      <c r="L206">
        <v>211</v>
      </c>
      <c r="M206" t="str">
        <f t="shared" si="63"/>
        <v>201-250</v>
      </c>
      <c r="N206">
        <f t="shared" si="64"/>
        <v>0.17</v>
      </c>
      <c r="O206">
        <v>0</v>
      </c>
      <c r="P206">
        <f t="shared" si="65"/>
        <v>-0.02</v>
      </c>
      <c r="Q206">
        <v>0</v>
      </c>
      <c r="R206">
        <f t="shared" si="66"/>
        <v>-0.36</v>
      </c>
      <c r="S206">
        <v>161</v>
      </c>
      <c r="T206" t="str">
        <f t="shared" si="67"/>
        <v>161-190</v>
      </c>
      <c r="U206">
        <f t="shared" si="68"/>
        <v>-1.01</v>
      </c>
      <c r="V206">
        <v>0</v>
      </c>
      <c r="W206">
        <f t="shared" si="69"/>
        <v>-0.64</v>
      </c>
      <c r="X206">
        <v>0</v>
      </c>
      <c r="Y206" t="str">
        <f t="shared" si="70"/>
        <v>0.1-1.5</v>
      </c>
      <c r="Z206">
        <f t="shared" si="71"/>
        <v>-0.48</v>
      </c>
      <c r="AA206">
        <v>0</v>
      </c>
      <c r="AB206">
        <f t="shared" si="72"/>
        <v>-0.91</v>
      </c>
      <c r="AC206">
        <v>0</v>
      </c>
      <c r="AD206">
        <f t="shared" si="73"/>
        <v>-0.87</v>
      </c>
      <c r="AE206">
        <v>3</v>
      </c>
      <c r="AF206">
        <f t="shared" si="74"/>
        <v>1.32</v>
      </c>
      <c r="AG206">
        <v>0</v>
      </c>
      <c r="AH206" t="str">
        <f t="shared" si="75"/>
        <v>No</v>
      </c>
    </row>
    <row r="207" spans="1:34">
      <c r="A207">
        <v>206</v>
      </c>
      <c r="B207">
        <v>45</v>
      </c>
      <c r="C207" t="str">
        <f t="shared" si="57"/>
        <v>37-46</v>
      </c>
      <c r="D207">
        <f t="shared" si="58"/>
        <v>-0.83</v>
      </c>
      <c r="E207">
        <v>1</v>
      </c>
      <c r="F207">
        <f t="shared" si="59"/>
        <v>0.38</v>
      </c>
      <c r="G207">
        <v>3</v>
      </c>
      <c r="H207">
        <f t="shared" si="60"/>
        <v>1.1599999999999999</v>
      </c>
      <c r="I207">
        <v>142</v>
      </c>
      <c r="J207" s="2" t="str">
        <f t="shared" si="61"/>
        <v>121-150</v>
      </c>
      <c r="K207" s="2">
        <f t="shared" si="62"/>
        <v>0.04</v>
      </c>
      <c r="L207">
        <v>309</v>
      </c>
      <c r="M207" t="str">
        <f t="shared" si="63"/>
        <v>351-400</v>
      </c>
      <c r="N207">
        <f t="shared" si="64"/>
        <v>0.17</v>
      </c>
      <c r="O207">
        <v>0</v>
      </c>
      <c r="P207">
        <f t="shared" si="65"/>
        <v>-0.02</v>
      </c>
      <c r="Q207">
        <v>2</v>
      </c>
      <c r="R207">
        <f t="shared" si="66"/>
        <v>0.33</v>
      </c>
      <c r="S207">
        <v>147</v>
      </c>
      <c r="T207" t="str">
        <f t="shared" si="67"/>
        <v>131-160</v>
      </c>
      <c r="U207">
        <f t="shared" si="68"/>
        <v>0.2</v>
      </c>
      <c r="V207">
        <v>1</v>
      </c>
      <c r="W207">
        <f t="shared" si="69"/>
        <v>1.36</v>
      </c>
      <c r="X207">
        <v>0</v>
      </c>
      <c r="Y207" t="str">
        <f t="shared" si="70"/>
        <v>0.1-1.5</v>
      </c>
      <c r="Z207">
        <f t="shared" si="71"/>
        <v>-0.48</v>
      </c>
      <c r="AA207">
        <v>1</v>
      </c>
      <c r="AB207">
        <f t="shared" si="72"/>
        <v>0.78</v>
      </c>
      <c r="AC207">
        <v>3</v>
      </c>
      <c r="AD207">
        <f t="shared" si="73"/>
        <v>1.9</v>
      </c>
      <c r="AE207">
        <v>3</v>
      </c>
      <c r="AF207">
        <f t="shared" si="74"/>
        <v>1.32</v>
      </c>
      <c r="AG207">
        <v>1</v>
      </c>
      <c r="AH207" t="str">
        <f t="shared" si="75"/>
        <v>Yes</v>
      </c>
    </row>
    <row r="208" spans="1:34">
      <c r="A208">
        <v>207</v>
      </c>
      <c r="B208">
        <v>58</v>
      </c>
      <c r="C208" t="str">
        <f t="shared" si="57"/>
        <v>57-66</v>
      </c>
      <c r="D208">
        <f t="shared" si="58"/>
        <v>0.64</v>
      </c>
      <c r="E208">
        <v>1</v>
      </c>
      <c r="F208">
        <f t="shared" si="59"/>
        <v>0.38</v>
      </c>
      <c r="G208">
        <v>3</v>
      </c>
      <c r="H208">
        <f t="shared" si="60"/>
        <v>1.1599999999999999</v>
      </c>
      <c r="I208">
        <v>128</v>
      </c>
      <c r="J208" s="2" t="str">
        <f t="shared" si="61"/>
        <v>121-150</v>
      </c>
      <c r="K208" s="2">
        <f t="shared" si="62"/>
        <v>0.04</v>
      </c>
      <c r="L208">
        <v>259</v>
      </c>
      <c r="M208" t="str">
        <f t="shared" si="63"/>
        <v>251-300</v>
      </c>
      <c r="N208">
        <f t="shared" si="64"/>
        <v>0.48</v>
      </c>
      <c r="O208">
        <v>0</v>
      </c>
      <c r="P208">
        <f t="shared" si="65"/>
        <v>-0.02</v>
      </c>
      <c r="Q208">
        <v>2</v>
      </c>
      <c r="R208">
        <f t="shared" si="66"/>
        <v>0.33</v>
      </c>
      <c r="S208">
        <v>130</v>
      </c>
      <c r="T208" t="str">
        <f t="shared" si="67"/>
        <v>101-130</v>
      </c>
      <c r="U208">
        <f t="shared" si="68"/>
        <v>1.1499999999999999</v>
      </c>
      <c r="V208">
        <v>1</v>
      </c>
      <c r="W208">
        <f t="shared" si="69"/>
        <v>1.36</v>
      </c>
      <c r="X208">
        <v>3</v>
      </c>
      <c r="Y208" t="str">
        <f t="shared" si="70"/>
        <v>2.9-4</v>
      </c>
      <c r="Z208">
        <f t="shared" si="71"/>
        <v>2.42</v>
      </c>
      <c r="AA208">
        <v>1</v>
      </c>
      <c r="AB208">
        <f t="shared" si="72"/>
        <v>0.78</v>
      </c>
      <c r="AC208">
        <v>2</v>
      </c>
      <c r="AD208">
        <f t="shared" si="73"/>
        <v>1.65</v>
      </c>
      <c r="AE208">
        <v>3</v>
      </c>
      <c r="AF208">
        <f t="shared" si="74"/>
        <v>1.32</v>
      </c>
      <c r="AG208">
        <v>1</v>
      </c>
      <c r="AH208" t="str">
        <f t="shared" si="75"/>
        <v>Yes</v>
      </c>
    </row>
    <row r="209" spans="1:34">
      <c r="A209">
        <v>208</v>
      </c>
      <c r="B209">
        <v>50</v>
      </c>
      <c r="C209" t="str">
        <f t="shared" si="57"/>
        <v>47-56</v>
      </c>
      <c r="D209">
        <f t="shared" si="58"/>
        <v>-0.28000000000000003</v>
      </c>
      <c r="E209">
        <v>1</v>
      </c>
      <c r="F209">
        <f t="shared" si="59"/>
        <v>0.38</v>
      </c>
      <c r="G209">
        <v>3</v>
      </c>
      <c r="H209">
        <f t="shared" si="60"/>
        <v>1.1599999999999999</v>
      </c>
      <c r="I209">
        <v>144</v>
      </c>
      <c r="J209" s="2" t="str">
        <f t="shared" si="61"/>
        <v>121-150</v>
      </c>
      <c r="K209" s="2">
        <f t="shared" si="62"/>
        <v>0.04</v>
      </c>
      <c r="L209">
        <v>200</v>
      </c>
      <c r="M209" t="str">
        <f t="shared" si="63"/>
        <v>126-200</v>
      </c>
      <c r="N209">
        <f t="shared" si="64"/>
        <v>-0.16</v>
      </c>
      <c r="O209">
        <v>0</v>
      </c>
      <c r="P209">
        <f t="shared" si="65"/>
        <v>-0.02</v>
      </c>
      <c r="Q209">
        <v>2</v>
      </c>
      <c r="R209">
        <f t="shared" si="66"/>
        <v>0.33</v>
      </c>
      <c r="S209">
        <v>126</v>
      </c>
      <c r="T209" t="str">
        <f t="shared" si="67"/>
        <v>101-130</v>
      </c>
      <c r="U209">
        <f t="shared" si="68"/>
        <v>1.1499999999999999</v>
      </c>
      <c r="V209">
        <v>1</v>
      </c>
      <c r="W209">
        <f t="shared" si="69"/>
        <v>1.36</v>
      </c>
      <c r="X209">
        <v>0.9</v>
      </c>
      <c r="Y209" t="str">
        <f t="shared" si="70"/>
        <v>0.1-1.5</v>
      </c>
      <c r="Z209">
        <f t="shared" si="71"/>
        <v>-0.48</v>
      </c>
      <c r="AA209">
        <v>1</v>
      </c>
      <c r="AB209">
        <f t="shared" si="72"/>
        <v>0.78</v>
      </c>
      <c r="AC209">
        <v>0</v>
      </c>
      <c r="AD209">
        <f t="shared" si="73"/>
        <v>-0.87</v>
      </c>
      <c r="AE209">
        <v>3</v>
      </c>
      <c r="AF209">
        <f t="shared" si="74"/>
        <v>1.32</v>
      </c>
      <c r="AG209">
        <v>1</v>
      </c>
      <c r="AH209" t="str">
        <f t="shared" si="75"/>
        <v>Yes</v>
      </c>
    </row>
    <row r="210" spans="1:34">
      <c r="A210">
        <v>209</v>
      </c>
      <c r="B210">
        <v>55</v>
      </c>
      <c r="C210" t="str">
        <f t="shared" si="57"/>
        <v>47-56</v>
      </c>
      <c r="D210">
        <f t="shared" si="58"/>
        <v>-0.28000000000000003</v>
      </c>
      <c r="E210">
        <v>1</v>
      </c>
      <c r="F210">
        <f t="shared" si="59"/>
        <v>0.38</v>
      </c>
      <c r="G210">
        <v>1</v>
      </c>
      <c r="H210">
        <f t="shared" si="60"/>
        <v>-1.35</v>
      </c>
      <c r="I210">
        <v>130</v>
      </c>
      <c r="J210" s="2" t="str">
        <f t="shared" si="61"/>
        <v>121-150</v>
      </c>
      <c r="K210" s="2">
        <f t="shared" si="62"/>
        <v>0.04</v>
      </c>
      <c r="L210">
        <v>262</v>
      </c>
      <c r="M210" t="str">
        <f t="shared" si="63"/>
        <v>251-300</v>
      </c>
      <c r="N210">
        <f t="shared" si="64"/>
        <v>0.48</v>
      </c>
      <c r="O210">
        <v>0</v>
      </c>
      <c r="P210">
        <f t="shared" si="65"/>
        <v>-0.02</v>
      </c>
      <c r="Q210">
        <v>0</v>
      </c>
      <c r="R210">
        <f t="shared" si="66"/>
        <v>-0.36</v>
      </c>
      <c r="S210">
        <v>155</v>
      </c>
      <c r="T210" t="str">
        <f t="shared" si="67"/>
        <v>131-160</v>
      </c>
      <c r="U210">
        <f t="shared" si="68"/>
        <v>0.2</v>
      </c>
      <c r="V210">
        <v>0</v>
      </c>
      <c r="W210">
        <f t="shared" si="69"/>
        <v>-0.64</v>
      </c>
      <c r="X210">
        <v>0</v>
      </c>
      <c r="Y210" t="str">
        <f t="shared" si="70"/>
        <v>0.1-1.5</v>
      </c>
      <c r="Z210">
        <f t="shared" si="71"/>
        <v>-0.48</v>
      </c>
      <c r="AA210">
        <v>0</v>
      </c>
      <c r="AB210">
        <f t="shared" si="72"/>
        <v>-0.91</v>
      </c>
      <c r="AC210">
        <v>0</v>
      </c>
      <c r="AD210">
        <f t="shared" si="73"/>
        <v>-0.87</v>
      </c>
      <c r="AE210">
        <v>1</v>
      </c>
      <c r="AF210">
        <f t="shared" si="74"/>
        <v>-1.06</v>
      </c>
      <c r="AG210">
        <v>0</v>
      </c>
      <c r="AH210" t="str">
        <f t="shared" si="75"/>
        <v>No</v>
      </c>
    </row>
    <row r="211" spans="1:34">
      <c r="A211">
        <v>210</v>
      </c>
      <c r="B211">
        <v>62</v>
      </c>
      <c r="C211" t="str">
        <f t="shared" si="57"/>
        <v>57-66</v>
      </c>
      <c r="D211">
        <f t="shared" si="58"/>
        <v>0.64</v>
      </c>
      <c r="E211">
        <v>0</v>
      </c>
      <c r="F211">
        <f t="shared" si="59"/>
        <v>-0.89</v>
      </c>
      <c r="G211">
        <v>3</v>
      </c>
      <c r="H211">
        <f t="shared" si="60"/>
        <v>1.1599999999999999</v>
      </c>
      <c r="I211">
        <v>150</v>
      </c>
      <c r="J211" s="2" t="str">
        <f t="shared" si="61"/>
        <v>121-150</v>
      </c>
      <c r="K211" s="2">
        <f t="shared" si="62"/>
        <v>0.04</v>
      </c>
      <c r="L211">
        <v>244</v>
      </c>
      <c r="M211" t="str">
        <f t="shared" si="63"/>
        <v>201-250</v>
      </c>
      <c r="N211">
        <f t="shared" si="64"/>
        <v>0.17</v>
      </c>
      <c r="O211">
        <v>0</v>
      </c>
      <c r="P211">
        <f t="shared" si="65"/>
        <v>-0.02</v>
      </c>
      <c r="Q211">
        <v>0</v>
      </c>
      <c r="R211">
        <f t="shared" si="66"/>
        <v>-0.36</v>
      </c>
      <c r="S211">
        <v>154</v>
      </c>
      <c r="T211" t="str">
        <f t="shared" si="67"/>
        <v>131-160</v>
      </c>
      <c r="U211">
        <f t="shared" si="68"/>
        <v>0.2</v>
      </c>
      <c r="V211">
        <v>1</v>
      </c>
      <c r="W211">
        <f t="shared" si="69"/>
        <v>1.36</v>
      </c>
      <c r="X211">
        <v>1.4</v>
      </c>
      <c r="Y211" t="str">
        <f t="shared" si="70"/>
        <v>0.1-1.5</v>
      </c>
      <c r="Z211">
        <f t="shared" si="71"/>
        <v>-0.48</v>
      </c>
      <c r="AA211">
        <v>1</v>
      </c>
      <c r="AB211">
        <f t="shared" si="72"/>
        <v>0.78</v>
      </c>
      <c r="AC211">
        <v>0</v>
      </c>
      <c r="AD211">
        <f t="shared" si="73"/>
        <v>-0.87</v>
      </c>
      <c r="AE211">
        <v>1</v>
      </c>
      <c r="AF211">
        <f t="shared" si="74"/>
        <v>-1.06</v>
      </c>
      <c r="AG211">
        <v>1</v>
      </c>
      <c r="AH211" t="str">
        <f t="shared" si="75"/>
        <v>Yes</v>
      </c>
    </row>
    <row r="212" spans="1:34">
      <c r="A212">
        <v>211</v>
      </c>
      <c r="B212">
        <v>37</v>
      </c>
      <c r="C212" t="str">
        <f t="shared" si="57"/>
        <v>37-46</v>
      </c>
      <c r="D212">
        <f t="shared" si="58"/>
        <v>-0.83</v>
      </c>
      <c r="E212">
        <v>0</v>
      </c>
      <c r="F212">
        <f t="shared" si="59"/>
        <v>-0.89</v>
      </c>
      <c r="G212">
        <v>2</v>
      </c>
      <c r="H212">
        <f t="shared" si="60"/>
        <v>-1.1599999999999999</v>
      </c>
      <c r="I212">
        <v>120</v>
      </c>
      <c r="J212" s="2" t="str">
        <f t="shared" si="61"/>
        <v>94-120</v>
      </c>
      <c r="K212" s="2">
        <f t="shared" si="62"/>
        <v>-0.32</v>
      </c>
      <c r="L212">
        <v>215</v>
      </c>
      <c r="M212" t="str">
        <f t="shared" si="63"/>
        <v>201-250</v>
      </c>
      <c r="N212">
        <f t="shared" si="64"/>
        <v>0.17</v>
      </c>
      <c r="O212">
        <v>0</v>
      </c>
      <c r="P212">
        <f t="shared" si="65"/>
        <v>-0.02</v>
      </c>
      <c r="Q212">
        <v>0</v>
      </c>
      <c r="R212">
        <f t="shared" si="66"/>
        <v>-0.36</v>
      </c>
      <c r="S212">
        <v>170</v>
      </c>
      <c r="T212" t="str">
        <f t="shared" si="67"/>
        <v>161-190</v>
      </c>
      <c r="U212">
        <f t="shared" si="68"/>
        <v>-1.01</v>
      </c>
      <c r="V212">
        <v>0</v>
      </c>
      <c r="W212">
        <f t="shared" si="69"/>
        <v>-0.64</v>
      </c>
      <c r="X212">
        <v>0</v>
      </c>
      <c r="Y212" t="str">
        <f t="shared" si="70"/>
        <v>0.1-1.5</v>
      </c>
      <c r="Z212">
        <f t="shared" si="71"/>
        <v>-0.48</v>
      </c>
      <c r="AA212">
        <v>0</v>
      </c>
      <c r="AB212">
        <f t="shared" si="72"/>
        <v>-0.91</v>
      </c>
      <c r="AC212">
        <v>0</v>
      </c>
      <c r="AD212">
        <f t="shared" si="73"/>
        <v>-0.87</v>
      </c>
      <c r="AE212">
        <v>1</v>
      </c>
      <c r="AF212">
        <f t="shared" si="74"/>
        <v>-1.06</v>
      </c>
      <c r="AG212">
        <v>0</v>
      </c>
      <c r="AH212" t="str">
        <f t="shared" si="75"/>
        <v>No</v>
      </c>
    </row>
    <row r="213" spans="1:34">
      <c r="A213">
        <v>212</v>
      </c>
      <c r="B213">
        <v>38</v>
      </c>
      <c r="C213" t="str">
        <f t="shared" si="57"/>
        <v>37-46</v>
      </c>
      <c r="D213">
        <f t="shared" si="58"/>
        <v>-0.83</v>
      </c>
      <c r="E213">
        <v>1</v>
      </c>
      <c r="F213">
        <f t="shared" si="59"/>
        <v>0.38</v>
      </c>
      <c r="G213">
        <v>0</v>
      </c>
      <c r="H213">
        <f t="shared" si="60"/>
        <v>-0.66</v>
      </c>
      <c r="I213">
        <v>120</v>
      </c>
      <c r="J213" s="2" t="str">
        <f t="shared" si="61"/>
        <v>94-120</v>
      </c>
      <c r="K213" s="2">
        <f t="shared" si="62"/>
        <v>-0.32</v>
      </c>
      <c r="L213">
        <v>231</v>
      </c>
      <c r="M213" t="str">
        <f t="shared" si="63"/>
        <v>201-250</v>
      </c>
      <c r="N213">
        <f t="shared" si="64"/>
        <v>0.17</v>
      </c>
      <c r="O213">
        <v>0</v>
      </c>
      <c r="P213">
        <f t="shared" si="65"/>
        <v>-0.02</v>
      </c>
      <c r="Q213">
        <v>0</v>
      </c>
      <c r="R213">
        <f t="shared" si="66"/>
        <v>-0.36</v>
      </c>
      <c r="S213">
        <v>182</v>
      </c>
      <c r="T213" t="str">
        <f t="shared" si="67"/>
        <v>161-190</v>
      </c>
      <c r="U213">
        <f t="shared" si="68"/>
        <v>-1.01</v>
      </c>
      <c r="V213">
        <v>1</v>
      </c>
      <c r="W213">
        <f t="shared" si="69"/>
        <v>1.36</v>
      </c>
      <c r="X213">
        <v>3.8</v>
      </c>
      <c r="Y213" t="str">
        <f t="shared" si="70"/>
        <v>2.9-4</v>
      </c>
      <c r="Z213">
        <f t="shared" si="71"/>
        <v>2.42</v>
      </c>
      <c r="AA213">
        <v>1</v>
      </c>
      <c r="AB213">
        <f t="shared" si="72"/>
        <v>0.78</v>
      </c>
      <c r="AC213">
        <v>0</v>
      </c>
      <c r="AD213">
        <f t="shared" si="73"/>
        <v>-0.87</v>
      </c>
      <c r="AE213">
        <v>3</v>
      </c>
      <c r="AF213">
        <f t="shared" si="74"/>
        <v>1.32</v>
      </c>
      <c r="AG213">
        <v>1</v>
      </c>
      <c r="AH213" t="str">
        <f t="shared" si="75"/>
        <v>Yes</v>
      </c>
    </row>
    <row r="214" spans="1:34">
      <c r="A214">
        <v>213</v>
      </c>
      <c r="B214">
        <v>41</v>
      </c>
      <c r="C214" t="str">
        <f t="shared" si="57"/>
        <v>37-46</v>
      </c>
      <c r="D214">
        <f t="shared" si="58"/>
        <v>-0.83</v>
      </c>
      <c r="E214">
        <v>1</v>
      </c>
      <c r="F214">
        <f t="shared" si="59"/>
        <v>0.38</v>
      </c>
      <c r="G214">
        <v>2</v>
      </c>
      <c r="H214">
        <f t="shared" si="60"/>
        <v>-1.1599999999999999</v>
      </c>
      <c r="I214">
        <v>130</v>
      </c>
      <c r="J214" s="2" t="str">
        <f t="shared" si="61"/>
        <v>121-150</v>
      </c>
      <c r="K214" s="2">
        <f t="shared" si="62"/>
        <v>0.04</v>
      </c>
      <c r="L214">
        <v>214</v>
      </c>
      <c r="M214" t="str">
        <f t="shared" si="63"/>
        <v>201-250</v>
      </c>
      <c r="N214">
        <f t="shared" si="64"/>
        <v>0.17</v>
      </c>
      <c r="O214">
        <v>0</v>
      </c>
      <c r="P214">
        <f t="shared" si="65"/>
        <v>-0.02</v>
      </c>
      <c r="Q214">
        <v>2</v>
      </c>
      <c r="R214">
        <f t="shared" si="66"/>
        <v>0.33</v>
      </c>
      <c r="S214">
        <v>168</v>
      </c>
      <c r="T214" t="str">
        <f t="shared" si="67"/>
        <v>161-190</v>
      </c>
      <c r="U214">
        <f t="shared" si="68"/>
        <v>-1.01</v>
      </c>
      <c r="V214">
        <v>0</v>
      </c>
      <c r="W214">
        <f t="shared" si="69"/>
        <v>-0.64</v>
      </c>
      <c r="X214">
        <v>2</v>
      </c>
      <c r="Y214" t="str">
        <f t="shared" si="70"/>
        <v>1.6-2.8</v>
      </c>
      <c r="Z214">
        <f t="shared" si="71"/>
        <v>0.99</v>
      </c>
      <c r="AA214">
        <v>1</v>
      </c>
      <c r="AB214">
        <f t="shared" si="72"/>
        <v>0.78</v>
      </c>
      <c r="AC214">
        <v>0</v>
      </c>
      <c r="AD214">
        <f t="shared" si="73"/>
        <v>-0.87</v>
      </c>
      <c r="AE214">
        <v>1</v>
      </c>
      <c r="AF214">
        <f t="shared" si="74"/>
        <v>-1.06</v>
      </c>
      <c r="AG214">
        <v>0</v>
      </c>
      <c r="AH214" t="str">
        <f t="shared" si="75"/>
        <v>No</v>
      </c>
    </row>
    <row r="215" spans="1:34">
      <c r="A215">
        <v>214</v>
      </c>
      <c r="B215">
        <v>66</v>
      </c>
      <c r="C215" t="str">
        <f t="shared" si="57"/>
        <v>57-66</v>
      </c>
      <c r="D215">
        <f t="shared" si="58"/>
        <v>0.64</v>
      </c>
      <c r="E215">
        <v>0</v>
      </c>
      <c r="F215">
        <f t="shared" si="59"/>
        <v>-0.89</v>
      </c>
      <c r="G215">
        <v>3</v>
      </c>
      <c r="H215">
        <f t="shared" si="60"/>
        <v>1.1599999999999999</v>
      </c>
      <c r="I215">
        <v>178</v>
      </c>
      <c r="J215" s="2" t="str">
        <f t="shared" si="61"/>
        <v>151-180</v>
      </c>
      <c r="K215" s="2">
        <f t="shared" si="62"/>
        <v>0.56999999999999995</v>
      </c>
      <c r="L215">
        <v>228</v>
      </c>
      <c r="M215" t="str">
        <f t="shared" si="63"/>
        <v>201-250</v>
      </c>
      <c r="N215">
        <f t="shared" si="64"/>
        <v>0.17</v>
      </c>
      <c r="O215">
        <v>1</v>
      </c>
      <c r="P215">
        <f t="shared" si="65"/>
        <v>0.12</v>
      </c>
      <c r="Q215">
        <v>0</v>
      </c>
      <c r="R215">
        <f t="shared" si="66"/>
        <v>-0.36</v>
      </c>
      <c r="S215">
        <v>165</v>
      </c>
      <c r="T215" t="str">
        <f t="shared" si="67"/>
        <v>161-190</v>
      </c>
      <c r="U215">
        <f t="shared" si="68"/>
        <v>-1.01</v>
      </c>
      <c r="V215">
        <v>1</v>
      </c>
      <c r="W215">
        <f t="shared" si="69"/>
        <v>1.36</v>
      </c>
      <c r="X215">
        <v>1</v>
      </c>
      <c r="Y215" t="str">
        <f t="shared" si="70"/>
        <v>0.1-1.5</v>
      </c>
      <c r="Z215">
        <f t="shared" si="71"/>
        <v>-0.48</v>
      </c>
      <c r="AA215">
        <v>1</v>
      </c>
      <c r="AB215">
        <f t="shared" si="72"/>
        <v>0.78</v>
      </c>
      <c r="AC215">
        <v>2</v>
      </c>
      <c r="AD215">
        <f t="shared" si="73"/>
        <v>1.65</v>
      </c>
      <c r="AE215">
        <v>3</v>
      </c>
      <c r="AF215">
        <f t="shared" si="74"/>
        <v>1.32</v>
      </c>
      <c r="AG215">
        <v>1</v>
      </c>
      <c r="AH215" t="str">
        <f t="shared" si="75"/>
        <v>Yes</v>
      </c>
    </row>
    <row r="216" spans="1:34">
      <c r="A216">
        <v>215</v>
      </c>
      <c r="B216">
        <v>52</v>
      </c>
      <c r="C216" t="str">
        <f t="shared" si="57"/>
        <v>47-56</v>
      </c>
      <c r="D216">
        <f t="shared" si="58"/>
        <v>-0.28000000000000003</v>
      </c>
      <c r="E216">
        <v>1</v>
      </c>
      <c r="F216">
        <f t="shared" si="59"/>
        <v>0.38</v>
      </c>
      <c r="G216">
        <v>3</v>
      </c>
      <c r="H216">
        <f t="shared" si="60"/>
        <v>1.1599999999999999</v>
      </c>
      <c r="I216">
        <v>112</v>
      </c>
      <c r="J216" s="2" t="str">
        <f t="shared" si="61"/>
        <v>94-120</v>
      </c>
      <c r="K216" s="2">
        <f t="shared" si="62"/>
        <v>-0.32</v>
      </c>
      <c r="L216">
        <v>230</v>
      </c>
      <c r="M216" t="str">
        <f t="shared" si="63"/>
        <v>201-250</v>
      </c>
      <c r="N216">
        <f t="shared" si="64"/>
        <v>0.17</v>
      </c>
      <c r="O216">
        <v>0</v>
      </c>
      <c r="P216">
        <f t="shared" si="65"/>
        <v>-0.02</v>
      </c>
      <c r="Q216">
        <v>0</v>
      </c>
      <c r="R216">
        <f t="shared" si="66"/>
        <v>-0.36</v>
      </c>
      <c r="S216">
        <v>160</v>
      </c>
      <c r="T216" t="str">
        <f t="shared" si="67"/>
        <v>131-160</v>
      </c>
      <c r="U216">
        <f t="shared" si="68"/>
        <v>0.2</v>
      </c>
      <c r="V216">
        <v>0</v>
      </c>
      <c r="W216">
        <f t="shared" si="69"/>
        <v>-0.64</v>
      </c>
      <c r="X216">
        <v>0</v>
      </c>
      <c r="Y216" t="str">
        <f t="shared" si="70"/>
        <v>0.1-1.5</v>
      </c>
      <c r="Z216">
        <f t="shared" si="71"/>
        <v>-0.48</v>
      </c>
      <c r="AA216">
        <v>0</v>
      </c>
      <c r="AB216">
        <f t="shared" si="72"/>
        <v>-0.91</v>
      </c>
      <c r="AC216">
        <v>1</v>
      </c>
      <c r="AD216">
        <f t="shared" si="73"/>
        <v>0.91</v>
      </c>
      <c r="AE216">
        <v>1</v>
      </c>
      <c r="AF216">
        <f t="shared" si="74"/>
        <v>-1.06</v>
      </c>
      <c r="AG216">
        <v>1</v>
      </c>
      <c r="AH216" t="str">
        <f t="shared" si="75"/>
        <v>Yes</v>
      </c>
    </row>
    <row r="217" spans="1:34">
      <c r="A217">
        <v>216</v>
      </c>
      <c r="B217">
        <v>56</v>
      </c>
      <c r="C217" t="str">
        <f t="shared" si="57"/>
        <v>47-56</v>
      </c>
      <c r="D217">
        <f t="shared" si="58"/>
        <v>-0.28000000000000003</v>
      </c>
      <c r="E217">
        <v>1</v>
      </c>
      <c r="F217">
        <f t="shared" si="59"/>
        <v>0.38</v>
      </c>
      <c r="G217">
        <v>0</v>
      </c>
      <c r="H217">
        <f t="shared" si="60"/>
        <v>-0.66</v>
      </c>
      <c r="I217">
        <v>120</v>
      </c>
      <c r="J217" s="2" t="str">
        <f t="shared" si="61"/>
        <v>94-120</v>
      </c>
      <c r="K217" s="2">
        <f t="shared" si="62"/>
        <v>-0.32</v>
      </c>
      <c r="L217">
        <v>193</v>
      </c>
      <c r="M217" t="str">
        <f t="shared" si="63"/>
        <v>126-200</v>
      </c>
      <c r="N217">
        <f t="shared" si="64"/>
        <v>-0.16</v>
      </c>
      <c r="O217">
        <v>0</v>
      </c>
      <c r="P217">
        <f t="shared" si="65"/>
        <v>-0.02</v>
      </c>
      <c r="Q217">
        <v>2</v>
      </c>
      <c r="R217">
        <f t="shared" si="66"/>
        <v>0.33</v>
      </c>
      <c r="S217">
        <v>162</v>
      </c>
      <c r="T217" t="str">
        <f t="shared" si="67"/>
        <v>161-190</v>
      </c>
      <c r="U217">
        <f t="shared" si="68"/>
        <v>-1.01</v>
      </c>
      <c r="V217">
        <v>0</v>
      </c>
      <c r="W217">
        <f t="shared" si="69"/>
        <v>-0.64</v>
      </c>
      <c r="X217">
        <v>1.9</v>
      </c>
      <c r="Y217" t="str">
        <f t="shared" si="70"/>
        <v>1.6-2.8</v>
      </c>
      <c r="Z217">
        <f t="shared" si="71"/>
        <v>0.99</v>
      </c>
      <c r="AA217">
        <v>1</v>
      </c>
      <c r="AB217">
        <f t="shared" si="72"/>
        <v>0.78</v>
      </c>
      <c r="AC217">
        <v>0</v>
      </c>
      <c r="AD217">
        <f t="shared" si="73"/>
        <v>-0.87</v>
      </c>
      <c r="AE217">
        <v>3</v>
      </c>
      <c r="AF217">
        <f t="shared" si="74"/>
        <v>1.32</v>
      </c>
      <c r="AG217">
        <v>0</v>
      </c>
      <c r="AH217" t="str">
        <f t="shared" si="75"/>
        <v>No</v>
      </c>
    </row>
    <row r="218" spans="1:34">
      <c r="A218">
        <v>217</v>
      </c>
      <c r="B218">
        <v>46</v>
      </c>
      <c r="C218" t="str">
        <f t="shared" si="57"/>
        <v>37-46</v>
      </c>
      <c r="D218">
        <f t="shared" si="58"/>
        <v>-0.83</v>
      </c>
      <c r="E218">
        <v>0</v>
      </c>
      <c r="F218">
        <f t="shared" si="59"/>
        <v>-0.89</v>
      </c>
      <c r="G218">
        <v>1</v>
      </c>
      <c r="H218">
        <f t="shared" si="60"/>
        <v>-1.35</v>
      </c>
      <c r="I218">
        <v>105</v>
      </c>
      <c r="J218" s="2" t="str">
        <f t="shared" si="61"/>
        <v>94-120</v>
      </c>
      <c r="K218" s="2">
        <f t="shared" si="62"/>
        <v>-0.32</v>
      </c>
      <c r="L218">
        <v>204</v>
      </c>
      <c r="M218" t="str">
        <f t="shared" si="63"/>
        <v>201-250</v>
      </c>
      <c r="N218">
        <f t="shared" si="64"/>
        <v>0.17</v>
      </c>
      <c r="O218">
        <v>0</v>
      </c>
      <c r="P218">
        <f t="shared" si="65"/>
        <v>-0.02</v>
      </c>
      <c r="Q218">
        <v>0</v>
      </c>
      <c r="R218">
        <f t="shared" si="66"/>
        <v>-0.36</v>
      </c>
      <c r="S218">
        <v>172</v>
      </c>
      <c r="T218" t="str">
        <f t="shared" si="67"/>
        <v>161-190</v>
      </c>
      <c r="U218">
        <f t="shared" si="68"/>
        <v>-1.01</v>
      </c>
      <c r="V218">
        <v>0</v>
      </c>
      <c r="W218">
        <f t="shared" si="69"/>
        <v>-0.64</v>
      </c>
      <c r="X218">
        <v>0</v>
      </c>
      <c r="Y218" t="str">
        <f t="shared" si="70"/>
        <v>0.1-1.5</v>
      </c>
      <c r="Z218">
        <f t="shared" si="71"/>
        <v>-0.48</v>
      </c>
      <c r="AA218">
        <v>0</v>
      </c>
      <c r="AB218">
        <f t="shared" si="72"/>
        <v>-0.91</v>
      </c>
      <c r="AC218">
        <v>0</v>
      </c>
      <c r="AD218">
        <f t="shared" si="73"/>
        <v>-0.87</v>
      </c>
      <c r="AE218">
        <v>1</v>
      </c>
      <c r="AF218">
        <f t="shared" si="74"/>
        <v>-1.06</v>
      </c>
      <c r="AG218">
        <v>0</v>
      </c>
      <c r="AH218" t="str">
        <f t="shared" si="75"/>
        <v>No</v>
      </c>
    </row>
    <row r="219" spans="1:34">
      <c r="A219">
        <v>218</v>
      </c>
      <c r="B219">
        <v>46</v>
      </c>
      <c r="C219" t="str">
        <f t="shared" si="57"/>
        <v>37-46</v>
      </c>
      <c r="D219">
        <f t="shared" si="58"/>
        <v>-0.83</v>
      </c>
      <c r="E219">
        <v>0</v>
      </c>
      <c r="F219">
        <f t="shared" si="59"/>
        <v>-0.89</v>
      </c>
      <c r="G219">
        <v>3</v>
      </c>
      <c r="H219">
        <f t="shared" si="60"/>
        <v>1.1599999999999999</v>
      </c>
      <c r="I219">
        <v>138</v>
      </c>
      <c r="J219" s="2" t="str">
        <f t="shared" si="61"/>
        <v>121-150</v>
      </c>
      <c r="K219" s="2">
        <f t="shared" si="62"/>
        <v>0.04</v>
      </c>
      <c r="L219">
        <v>243</v>
      </c>
      <c r="M219" t="str">
        <f t="shared" si="63"/>
        <v>201-250</v>
      </c>
      <c r="N219">
        <f t="shared" si="64"/>
        <v>0.17</v>
      </c>
      <c r="O219">
        <v>0</v>
      </c>
      <c r="P219">
        <f t="shared" si="65"/>
        <v>-0.02</v>
      </c>
      <c r="Q219">
        <v>2</v>
      </c>
      <c r="R219">
        <f t="shared" si="66"/>
        <v>0.33</v>
      </c>
      <c r="S219">
        <v>152</v>
      </c>
      <c r="T219" t="str">
        <f t="shared" si="67"/>
        <v>131-160</v>
      </c>
      <c r="U219">
        <f t="shared" si="68"/>
        <v>0.2</v>
      </c>
      <c r="V219">
        <v>1</v>
      </c>
      <c r="W219">
        <f t="shared" si="69"/>
        <v>1.36</v>
      </c>
      <c r="X219">
        <v>0</v>
      </c>
      <c r="Y219" t="str">
        <f t="shared" si="70"/>
        <v>0.1-1.5</v>
      </c>
      <c r="Z219">
        <f t="shared" si="71"/>
        <v>-0.48</v>
      </c>
      <c r="AA219">
        <v>1</v>
      </c>
      <c r="AB219">
        <f t="shared" si="72"/>
        <v>0.78</v>
      </c>
      <c r="AC219">
        <v>0</v>
      </c>
      <c r="AD219">
        <f t="shared" si="73"/>
        <v>-0.87</v>
      </c>
      <c r="AE219">
        <v>1</v>
      </c>
      <c r="AF219">
        <f t="shared" si="74"/>
        <v>-1.06</v>
      </c>
      <c r="AG219">
        <v>0</v>
      </c>
      <c r="AH219" t="str">
        <f t="shared" si="75"/>
        <v>No</v>
      </c>
    </row>
    <row r="220" spans="1:34">
      <c r="A220">
        <v>219</v>
      </c>
      <c r="B220">
        <v>64</v>
      </c>
      <c r="C220" t="str">
        <f t="shared" si="57"/>
        <v>57-66</v>
      </c>
      <c r="D220">
        <f t="shared" si="58"/>
        <v>0.64</v>
      </c>
      <c r="E220">
        <v>0</v>
      </c>
      <c r="F220">
        <f t="shared" si="59"/>
        <v>-0.89</v>
      </c>
      <c r="G220">
        <v>3</v>
      </c>
      <c r="H220">
        <f t="shared" si="60"/>
        <v>1.1599999999999999</v>
      </c>
      <c r="I220">
        <v>130</v>
      </c>
      <c r="J220" s="2" t="str">
        <f t="shared" si="61"/>
        <v>121-150</v>
      </c>
      <c r="K220" s="2">
        <f t="shared" si="62"/>
        <v>0.04</v>
      </c>
      <c r="L220">
        <v>303</v>
      </c>
      <c r="M220" t="str">
        <f t="shared" si="63"/>
        <v>351-400</v>
      </c>
      <c r="N220">
        <f t="shared" si="64"/>
        <v>0.17</v>
      </c>
      <c r="O220">
        <v>0</v>
      </c>
      <c r="P220">
        <f t="shared" si="65"/>
        <v>-0.02</v>
      </c>
      <c r="Q220">
        <v>0</v>
      </c>
      <c r="R220">
        <f t="shared" si="66"/>
        <v>-0.36</v>
      </c>
      <c r="S220">
        <v>122</v>
      </c>
      <c r="T220" t="str">
        <f t="shared" si="67"/>
        <v>101-130</v>
      </c>
      <c r="U220">
        <f t="shared" si="68"/>
        <v>1.1499999999999999</v>
      </c>
      <c r="V220">
        <v>0</v>
      </c>
      <c r="W220">
        <f t="shared" si="69"/>
        <v>-0.64</v>
      </c>
      <c r="X220">
        <v>2</v>
      </c>
      <c r="Y220" t="str">
        <f t="shared" si="70"/>
        <v>1.6-2.8</v>
      </c>
      <c r="Z220">
        <f t="shared" si="71"/>
        <v>0.99</v>
      </c>
      <c r="AA220">
        <v>1</v>
      </c>
      <c r="AB220">
        <f t="shared" si="72"/>
        <v>0.78</v>
      </c>
      <c r="AC220">
        <v>2</v>
      </c>
      <c r="AD220">
        <f t="shared" si="73"/>
        <v>1.65</v>
      </c>
      <c r="AE220">
        <v>1</v>
      </c>
      <c r="AF220">
        <f t="shared" si="74"/>
        <v>-1.06</v>
      </c>
      <c r="AG220">
        <v>0</v>
      </c>
      <c r="AH220" t="str">
        <f t="shared" si="75"/>
        <v>No</v>
      </c>
    </row>
    <row r="221" spans="1:34">
      <c r="A221">
        <v>220</v>
      </c>
      <c r="B221">
        <v>59</v>
      </c>
      <c r="C221" t="str">
        <f t="shared" si="57"/>
        <v>57-66</v>
      </c>
      <c r="D221">
        <f t="shared" si="58"/>
        <v>0.64</v>
      </c>
      <c r="E221">
        <v>1</v>
      </c>
      <c r="F221">
        <f t="shared" si="59"/>
        <v>0.38</v>
      </c>
      <c r="G221">
        <v>3</v>
      </c>
      <c r="H221">
        <f t="shared" si="60"/>
        <v>1.1599999999999999</v>
      </c>
      <c r="I221">
        <v>138</v>
      </c>
      <c r="J221" s="2" t="str">
        <f t="shared" si="61"/>
        <v>121-150</v>
      </c>
      <c r="K221" s="2">
        <f t="shared" si="62"/>
        <v>0.04</v>
      </c>
      <c r="L221">
        <v>271</v>
      </c>
      <c r="M221" t="str">
        <f t="shared" si="63"/>
        <v>251-300</v>
      </c>
      <c r="N221">
        <f t="shared" si="64"/>
        <v>0.48</v>
      </c>
      <c r="O221">
        <v>0</v>
      </c>
      <c r="P221">
        <f t="shared" si="65"/>
        <v>-0.02</v>
      </c>
      <c r="Q221">
        <v>2</v>
      </c>
      <c r="R221">
        <f t="shared" si="66"/>
        <v>0.33</v>
      </c>
      <c r="S221">
        <v>182</v>
      </c>
      <c r="T221" t="str">
        <f t="shared" si="67"/>
        <v>161-190</v>
      </c>
      <c r="U221">
        <f t="shared" si="68"/>
        <v>-1.01</v>
      </c>
      <c r="V221">
        <v>0</v>
      </c>
      <c r="W221">
        <f t="shared" si="69"/>
        <v>-0.64</v>
      </c>
      <c r="X221">
        <v>0</v>
      </c>
      <c r="Y221" t="str">
        <f t="shared" si="70"/>
        <v>0.1-1.5</v>
      </c>
      <c r="Z221">
        <f t="shared" si="71"/>
        <v>-0.48</v>
      </c>
      <c r="AA221">
        <v>0</v>
      </c>
      <c r="AB221">
        <f t="shared" si="72"/>
        <v>-0.91</v>
      </c>
      <c r="AC221">
        <v>0</v>
      </c>
      <c r="AD221">
        <f t="shared" si="73"/>
        <v>-0.87</v>
      </c>
      <c r="AE221">
        <v>1</v>
      </c>
      <c r="AF221">
        <f t="shared" si="74"/>
        <v>-1.06</v>
      </c>
      <c r="AG221">
        <v>0</v>
      </c>
      <c r="AH221" t="str">
        <f t="shared" si="75"/>
        <v>No</v>
      </c>
    </row>
    <row r="222" spans="1:34">
      <c r="A222">
        <v>221</v>
      </c>
      <c r="B222">
        <v>41</v>
      </c>
      <c r="C222" t="str">
        <f t="shared" si="57"/>
        <v>37-46</v>
      </c>
      <c r="D222">
        <f t="shared" si="58"/>
        <v>-0.83</v>
      </c>
      <c r="E222">
        <v>0</v>
      </c>
      <c r="F222">
        <f t="shared" si="59"/>
        <v>-0.89</v>
      </c>
      <c r="G222">
        <v>2</v>
      </c>
      <c r="H222">
        <f t="shared" si="60"/>
        <v>-1.1599999999999999</v>
      </c>
      <c r="I222">
        <v>112</v>
      </c>
      <c r="J222" s="2" t="str">
        <f t="shared" si="61"/>
        <v>94-120</v>
      </c>
      <c r="K222" s="2">
        <f t="shared" si="62"/>
        <v>-0.32</v>
      </c>
      <c r="L222">
        <v>268</v>
      </c>
      <c r="M222" t="str">
        <f t="shared" si="63"/>
        <v>251-300</v>
      </c>
      <c r="N222">
        <f t="shared" si="64"/>
        <v>0.48</v>
      </c>
      <c r="O222">
        <v>0</v>
      </c>
      <c r="P222">
        <f t="shared" si="65"/>
        <v>-0.02</v>
      </c>
      <c r="Q222">
        <v>2</v>
      </c>
      <c r="R222">
        <f t="shared" si="66"/>
        <v>0.33</v>
      </c>
      <c r="S222">
        <v>172</v>
      </c>
      <c r="T222" t="str">
        <f t="shared" si="67"/>
        <v>161-190</v>
      </c>
      <c r="U222">
        <f t="shared" si="68"/>
        <v>-1.01</v>
      </c>
      <c r="V222">
        <v>1</v>
      </c>
      <c r="W222">
        <f t="shared" si="69"/>
        <v>1.36</v>
      </c>
      <c r="X222">
        <v>0</v>
      </c>
      <c r="Y222" t="str">
        <f t="shared" si="70"/>
        <v>0.1-1.5</v>
      </c>
      <c r="Z222">
        <f t="shared" si="71"/>
        <v>-0.48</v>
      </c>
      <c r="AA222">
        <v>0</v>
      </c>
      <c r="AB222">
        <f t="shared" si="72"/>
        <v>-0.91</v>
      </c>
      <c r="AC222">
        <v>0</v>
      </c>
      <c r="AD222">
        <f t="shared" si="73"/>
        <v>-0.87</v>
      </c>
      <c r="AE222">
        <v>1</v>
      </c>
      <c r="AF222">
        <f t="shared" si="74"/>
        <v>-1.06</v>
      </c>
      <c r="AG222">
        <v>0</v>
      </c>
      <c r="AH222" t="str">
        <f t="shared" si="75"/>
        <v>No</v>
      </c>
    </row>
    <row r="223" spans="1:34">
      <c r="A223">
        <v>222</v>
      </c>
      <c r="B223">
        <v>54</v>
      </c>
      <c r="C223" t="str">
        <f t="shared" si="57"/>
        <v>47-56</v>
      </c>
      <c r="D223">
        <f t="shared" si="58"/>
        <v>-0.28000000000000003</v>
      </c>
      <c r="E223">
        <v>0</v>
      </c>
      <c r="F223">
        <f t="shared" si="59"/>
        <v>-0.89</v>
      </c>
      <c r="G223">
        <v>2</v>
      </c>
      <c r="H223">
        <f t="shared" si="60"/>
        <v>-1.1599999999999999</v>
      </c>
      <c r="I223">
        <v>108</v>
      </c>
      <c r="J223" s="2" t="str">
        <f t="shared" si="61"/>
        <v>94-120</v>
      </c>
      <c r="K223" s="2">
        <f t="shared" si="62"/>
        <v>-0.32</v>
      </c>
      <c r="L223">
        <v>267</v>
      </c>
      <c r="M223" t="str">
        <f t="shared" si="63"/>
        <v>251-300</v>
      </c>
      <c r="N223">
        <f t="shared" si="64"/>
        <v>0.48</v>
      </c>
      <c r="O223">
        <v>0</v>
      </c>
      <c r="P223">
        <f t="shared" si="65"/>
        <v>-0.02</v>
      </c>
      <c r="Q223">
        <v>2</v>
      </c>
      <c r="R223">
        <f t="shared" si="66"/>
        <v>0.33</v>
      </c>
      <c r="S223">
        <v>167</v>
      </c>
      <c r="T223" t="str">
        <f t="shared" si="67"/>
        <v>161-190</v>
      </c>
      <c r="U223">
        <f t="shared" si="68"/>
        <v>-1.01</v>
      </c>
      <c r="V223">
        <v>0</v>
      </c>
      <c r="W223">
        <f t="shared" si="69"/>
        <v>-0.64</v>
      </c>
      <c r="X223">
        <v>0</v>
      </c>
      <c r="Y223" t="str">
        <f t="shared" si="70"/>
        <v>0.1-1.5</v>
      </c>
      <c r="Z223">
        <f t="shared" si="71"/>
        <v>-0.48</v>
      </c>
      <c r="AA223">
        <v>0</v>
      </c>
      <c r="AB223">
        <f t="shared" si="72"/>
        <v>-0.91</v>
      </c>
      <c r="AC223">
        <v>0</v>
      </c>
      <c r="AD223">
        <f t="shared" si="73"/>
        <v>-0.87</v>
      </c>
      <c r="AE223">
        <v>1</v>
      </c>
      <c r="AF223">
        <f t="shared" si="74"/>
        <v>-1.06</v>
      </c>
      <c r="AG223">
        <v>0</v>
      </c>
      <c r="AH223" t="str">
        <f t="shared" si="75"/>
        <v>No</v>
      </c>
    </row>
    <row r="224" spans="1:34">
      <c r="A224">
        <v>223</v>
      </c>
      <c r="B224">
        <v>39</v>
      </c>
      <c r="C224" t="str">
        <f t="shared" si="57"/>
        <v>37-46</v>
      </c>
      <c r="D224">
        <f t="shared" si="58"/>
        <v>-0.83</v>
      </c>
      <c r="E224">
        <v>0</v>
      </c>
      <c r="F224">
        <f t="shared" si="59"/>
        <v>-0.89</v>
      </c>
      <c r="G224">
        <v>2</v>
      </c>
      <c r="H224">
        <f t="shared" si="60"/>
        <v>-1.1599999999999999</v>
      </c>
      <c r="I224">
        <v>94</v>
      </c>
      <c r="J224" s="2" t="str">
        <f t="shared" si="61"/>
        <v>94-120</v>
      </c>
      <c r="K224" s="2">
        <f t="shared" si="62"/>
        <v>-0.32</v>
      </c>
      <c r="L224">
        <v>199</v>
      </c>
      <c r="M224" t="str">
        <f t="shared" si="63"/>
        <v>126-200</v>
      </c>
      <c r="N224">
        <f t="shared" si="64"/>
        <v>-0.16</v>
      </c>
      <c r="O224">
        <v>0</v>
      </c>
      <c r="P224">
        <f t="shared" si="65"/>
        <v>-0.02</v>
      </c>
      <c r="Q224">
        <v>0</v>
      </c>
      <c r="R224">
        <f t="shared" si="66"/>
        <v>-0.36</v>
      </c>
      <c r="S224">
        <v>179</v>
      </c>
      <c r="T224" t="str">
        <f t="shared" si="67"/>
        <v>161-190</v>
      </c>
      <c r="U224">
        <f t="shared" si="68"/>
        <v>-1.01</v>
      </c>
      <c r="V224">
        <v>0</v>
      </c>
      <c r="W224">
        <f t="shared" si="69"/>
        <v>-0.64</v>
      </c>
      <c r="X224">
        <v>0</v>
      </c>
      <c r="Y224" t="str">
        <f t="shared" si="70"/>
        <v>0.1-1.5</v>
      </c>
      <c r="Z224">
        <f t="shared" si="71"/>
        <v>-0.48</v>
      </c>
      <c r="AA224">
        <v>0</v>
      </c>
      <c r="AB224">
        <f t="shared" si="72"/>
        <v>-0.91</v>
      </c>
      <c r="AC224">
        <v>0</v>
      </c>
      <c r="AD224">
        <f t="shared" si="73"/>
        <v>-0.87</v>
      </c>
      <c r="AE224">
        <v>1</v>
      </c>
      <c r="AF224">
        <f t="shared" si="74"/>
        <v>-1.06</v>
      </c>
      <c r="AG224">
        <v>0</v>
      </c>
      <c r="AH224" t="str">
        <f t="shared" si="75"/>
        <v>No</v>
      </c>
    </row>
    <row r="225" spans="1:34">
      <c r="A225">
        <v>224</v>
      </c>
      <c r="B225">
        <v>53</v>
      </c>
      <c r="C225" t="str">
        <f t="shared" si="57"/>
        <v>47-56</v>
      </c>
      <c r="D225">
        <f t="shared" si="58"/>
        <v>-0.28000000000000003</v>
      </c>
      <c r="E225">
        <v>1</v>
      </c>
      <c r="F225">
        <f t="shared" si="59"/>
        <v>0.38</v>
      </c>
      <c r="G225">
        <v>3</v>
      </c>
      <c r="H225">
        <f t="shared" si="60"/>
        <v>1.1599999999999999</v>
      </c>
      <c r="I225">
        <v>123</v>
      </c>
      <c r="J225" s="2" t="str">
        <f t="shared" si="61"/>
        <v>121-150</v>
      </c>
      <c r="K225" s="2">
        <f t="shared" si="62"/>
        <v>0.04</v>
      </c>
      <c r="L225">
        <v>282</v>
      </c>
      <c r="M225" t="str">
        <f t="shared" si="63"/>
        <v>251-300</v>
      </c>
      <c r="N225">
        <f t="shared" si="64"/>
        <v>0.48</v>
      </c>
      <c r="O225">
        <v>0</v>
      </c>
      <c r="P225">
        <f t="shared" si="65"/>
        <v>-0.02</v>
      </c>
      <c r="Q225">
        <v>0</v>
      </c>
      <c r="R225">
        <f t="shared" si="66"/>
        <v>-0.36</v>
      </c>
      <c r="S225">
        <v>95</v>
      </c>
      <c r="T225" t="str">
        <f t="shared" si="67"/>
        <v>71-100</v>
      </c>
      <c r="U225">
        <f t="shared" si="68"/>
        <v>2.11</v>
      </c>
      <c r="V225">
        <v>1</v>
      </c>
      <c r="W225">
        <f t="shared" si="69"/>
        <v>1.36</v>
      </c>
      <c r="X225">
        <v>2</v>
      </c>
      <c r="Y225" t="str">
        <f t="shared" si="70"/>
        <v>1.6-2.8</v>
      </c>
      <c r="Z225">
        <f t="shared" si="71"/>
        <v>0.99</v>
      </c>
      <c r="AA225">
        <v>1</v>
      </c>
      <c r="AB225">
        <f t="shared" si="72"/>
        <v>0.78</v>
      </c>
      <c r="AC225">
        <v>2</v>
      </c>
      <c r="AD225">
        <f t="shared" si="73"/>
        <v>1.65</v>
      </c>
      <c r="AE225">
        <v>3</v>
      </c>
      <c r="AF225">
        <f t="shared" si="74"/>
        <v>1.32</v>
      </c>
      <c r="AG225">
        <v>1</v>
      </c>
      <c r="AH225" t="str">
        <f t="shared" si="75"/>
        <v>Yes</v>
      </c>
    </row>
    <row r="226" spans="1:34">
      <c r="A226">
        <v>225</v>
      </c>
      <c r="B226">
        <v>63</v>
      </c>
      <c r="C226" t="str">
        <f t="shared" si="57"/>
        <v>57-66</v>
      </c>
      <c r="D226">
        <f t="shared" si="58"/>
        <v>0.64</v>
      </c>
      <c r="E226">
        <v>0</v>
      </c>
      <c r="F226">
        <f t="shared" si="59"/>
        <v>-0.89</v>
      </c>
      <c r="G226">
        <v>3</v>
      </c>
      <c r="H226">
        <f t="shared" si="60"/>
        <v>1.1599999999999999</v>
      </c>
      <c r="I226">
        <v>108</v>
      </c>
      <c r="J226" s="2" t="str">
        <f t="shared" si="61"/>
        <v>94-120</v>
      </c>
      <c r="K226" s="2">
        <f t="shared" si="62"/>
        <v>-0.32</v>
      </c>
      <c r="L226">
        <v>269</v>
      </c>
      <c r="M226" t="str">
        <f t="shared" si="63"/>
        <v>251-300</v>
      </c>
      <c r="N226">
        <f t="shared" si="64"/>
        <v>0.48</v>
      </c>
      <c r="O226">
        <v>0</v>
      </c>
      <c r="P226">
        <f t="shared" si="65"/>
        <v>-0.02</v>
      </c>
      <c r="Q226">
        <v>0</v>
      </c>
      <c r="R226">
        <f t="shared" si="66"/>
        <v>-0.36</v>
      </c>
      <c r="S226">
        <v>169</v>
      </c>
      <c r="T226" t="str">
        <f t="shared" si="67"/>
        <v>161-190</v>
      </c>
      <c r="U226">
        <f t="shared" si="68"/>
        <v>-1.01</v>
      </c>
      <c r="V226">
        <v>1</v>
      </c>
      <c r="W226">
        <f t="shared" si="69"/>
        <v>1.36</v>
      </c>
      <c r="X226">
        <v>1.8</v>
      </c>
      <c r="Y226" t="str">
        <f t="shared" si="70"/>
        <v>1.6-2.8</v>
      </c>
      <c r="Z226">
        <f t="shared" si="71"/>
        <v>0.99</v>
      </c>
      <c r="AA226">
        <v>1</v>
      </c>
      <c r="AB226">
        <f t="shared" si="72"/>
        <v>0.78</v>
      </c>
      <c r="AC226">
        <v>2</v>
      </c>
      <c r="AD226">
        <f t="shared" si="73"/>
        <v>1.65</v>
      </c>
      <c r="AE226">
        <v>1</v>
      </c>
      <c r="AF226">
        <f t="shared" si="74"/>
        <v>-1.06</v>
      </c>
      <c r="AG226">
        <v>1</v>
      </c>
      <c r="AH226" t="str">
        <f t="shared" si="75"/>
        <v>Yes</v>
      </c>
    </row>
    <row r="227" spans="1:34">
      <c r="A227">
        <v>226</v>
      </c>
      <c r="B227">
        <v>34</v>
      </c>
      <c r="C227" t="str">
        <f t="shared" si="57"/>
        <v>27-36</v>
      </c>
      <c r="D227">
        <f t="shared" si="58"/>
        <v>-0.75</v>
      </c>
      <c r="E227">
        <v>0</v>
      </c>
      <c r="F227">
        <f t="shared" si="59"/>
        <v>-0.89</v>
      </c>
      <c r="G227">
        <v>1</v>
      </c>
      <c r="H227">
        <f t="shared" si="60"/>
        <v>-1.35</v>
      </c>
      <c r="I227">
        <v>118</v>
      </c>
      <c r="J227" s="2" t="str">
        <f t="shared" si="61"/>
        <v>94-120</v>
      </c>
      <c r="K227" s="2">
        <f t="shared" si="62"/>
        <v>-0.32</v>
      </c>
      <c r="L227">
        <v>210</v>
      </c>
      <c r="M227" t="str">
        <f t="shared" si="63"/>
        <v>201-250</v>
      </c>
      <c r="N227">
        <f t="shared" si="64"/>
        <v>0.17</v>
      </c>
      <c r="O227">
        <v>0</v>
      </c>
      <c r="P227">
        <f t="shared" si="65"/>
        <v>-0.02</v>
      </c>
      <c r="Q227">
        <v>0</v>
      </c>
      <c r="R227">
        <f t="shared" si="66"/>
        <v>-0.36</v>
      </c>
      <c r="S227">
        <v>192</v>
      </c>
      <c r="T227" t="str">
        <f t="shared" si="67"/>
        <v>190+</v>
      </c>
      <c r="U227">
        <f t="shared" si="68"/>
        <v>2.11</v>
      </c>
      <c r="V227">
        <v>0</v>
      </c>
      <c r="W227">
        <f t="shared" si="69"/>
        <v>-0.64</v>
      </c>
      <c r="X227">
        <v>0.7</v>
      </c>
      <c r="Y227" t="str">
        <f t="shared" si="70"/>
        <v>0.1-1.5</v>
      </c>
      <c r="Z227">
        <f t="shared" si="71"/>
        <v>-0.48</v>
      </c>
      <c r="AA227">
        <v>0</v>
      </c>
      <c r="AB227">
        <f t="shared" si="72"/>
        <v>-0.91</v>
      </c>
      <c r="AC227">
        <v>0</v>
      </c>
      <c r="AD227">
        <f t="shared" si="73"/>
        <v>-0.87</v>
      </c>
      <c r="AE227">
        <v>1</v>
      </c>
      <c r="AF227">
        <f t="shared" si="74"/>
        <v>-1.06</v>
      </c>
      <c r="AG227">
        <v>0</v>
      </c>
      <c r="AH227" t="str">
        <f t="shared" si="75"/>
        <v>No</v>
      </c>
    </row>
    <row r="228" spans="1:34">
      <c r="A228">
        <v>227</v>
      </c>
      <c r="B228">
        <v>47</v>
      </c>
      <c r="C228" t="str">
        <f t="shared" si="57"/>
        <v>47-56</v>
      </c>
      <c r="D228">
        <f t="shared" si="58"/>
        <v>-0.28000000000000003</v>
      </c>
      <c r="E228">
        <v>1</v>
      </c>
      <c r="F228">
        <f t="shared" si="59"/>
        <v>0.38</v>
      </c>
      <c r="G228">
        <v>3</v>
      </c>
      <c r="H228">
        <f t="shared" si="60"/>
        <v>1.1599999999999999</v>
      </c>
      <c r="I228">
        <v>112</v>
      </c>
      <c r="J228" s="2" t="str">
        <f t="shared" si="61"/>
        <v>94-120</v>
      </c>
      <c r="K228" s="2">
        <f t="shared" si="62"/>
        <v>-0.32</v>
      </c>
      <c r="L228">
        <v>204</v>
      </c>
      <c r="M228" t="str">
        <f t="shared" si="63"/>
        <v>201-250</v>
      </c>
      <c r="N228">
        <f t="shared" si="64"/>
        <v>0.17</v>
      </c>
      <c r="O228">
        <v>0</v>
      </c>
      <c r="P228">
        <f t="shared" si="65"/>
        <v>-0.02</v>
      </c>
      <c r="Q228">
        <v>0</v>
      </c>
      <c r="R228">
        <f t="shared" si="66"/>
        <v>-0.36</v>
      </c>
      <c r="S228">
        <v>143</v>
      </c>
      <c r="T228" t="str">
        <f t="shared" si="67"/>
        <v>131-160</v>
      </c>
      <c r="U228">
        <f t="shared" si="68"/>
        <v>0.2</v>
      </c>
      <c r="V228">
        <v>0</v>
      </c>
      <c r="W228">
        <f t="shared" si="69"/>
        <v>-0.64</v>
      </c>
      <c r="X228">
        <v>0.1</v>
      </c>
      <c r="Y228" t="str">
        <f t="shared" si="70"/>
        <v>0.1-1.5</v>
      </c>
      <c r="Z228">
        <f t="shared" si="71"/>
        <v>-0.48</v>
      </c>
      <c r="AA228">
        <v>0</v>
      </c>
      <c r="AB228">
        <f t="shared" si="72"/>
        <v>-0.91</v>
      </c>
      <c r="AC228">
        <v>0</v>
      </c>
      <c r="AD228">
        <f t="shared" si="73"/>
        <v>-0.87</v>
      </c>
      <c r="AE228">
        <v>1</v>
      </c>
      <c r="AF228">
        <f t="shared" si="74"/>
        <v>-1.06</v>
      </c>
      <c r="AG228">
        <v>0</v>
      </c>
      <c r="AH228" t="str">
        <f t="shared" si="75"/>
        <v>No</v>
      </c>
    </row>
    <row r="229" spans="1:34">
      <c r="A229">
        <v>228</v>
      </c>
      <c r="B229">
        <v>67</v>
      </c>
      <c r="C229" t="str">
        <f t="shared" si="57"/>
        <v>66+</v>
      </c>
      <c r="D229">
        <f t="shared" si="58"/>
        <v>0.17</v>
      </c>
      <c r="E229">
        <v>0</v>
      </c>
      <c r="F229">
        <f t="shared" si="59"/>
        <v>-0.89</v>
      </c>
      <c r="G229">
        <v>2</v>
      </c>
      <c r="H229">
        <f t="shared" si="60"/>
        <v>-1.1599999999999999</v>
      </c>
      <c r="I229">
        <v>152</v>
      </c>
      <c r="J229" s="2" t="str">
        <f t="shared" si="61"/>
        <v>151-180</v>
      </c>
      <c r="K229" s="2">
        <f t="shared" si="62"/>
        <v>0.56999999999999995</v>
      </c>
      <c r="L229">
        <v>277</v>
      </c>
      <c r="M229" t="str">
        <f t="shared" si="63"/>
        <v>251-300</v>
      </c>
      <c r="N229">
        <f t="shared" si="64"/>
        <v>0.48</v>
      </c>
      <c r="O229">
        <v>0</v>
      </c>
      <c r="P229">
        <f t="shared" si="65"/>
        <v>-0.02</v>
      </c>
      <c r="Q229">
        <v>0</v>
      </c>
      <c r="R229">
        <f t="shared" si="66"/>
        <v>-0.36</v>
      </c>
      <c r="S229">
        <v>172</v>
      </c>
      <c r="T229" t="str">
        <f t="shared" si="67"/>
        <v>161-190</v>
      </c>
      <c r="U229">
        <f t="shared" si="68"/>
        <v>-1.01</v>
      </c>
      <c r="V229">
        <v>0</v>
      </c>
      <c r="W229">
        <f t="shared" si="69"/>
        <v>-0.64</v>
      </c>
      <c r="X229">
        <v>0</v>
      </c>
      <c r="Y229" t="str">
        <f t="shared" si="70"/>
        <v>0.1-1.5</v>
      </c>
      <c r="Z229">
        <f t="shared" si="71"/>
        <v>-0.48</v>
      </c>
      <c r="AA229">
        <v>0</v>
      </c>
      <c r="AB229">
        <f t="shared" si="72"/>
        <v>-0.91</v>
      </c>
      <c r="AC229">
        <v>1</v>
      </c>
      <c r="AD229">
        <f t="shared" si="73"/>
        <v>0.91</v>
      </c>
      <c r="AE229">
        <v>1</v>
      </c>
      <c r="AF229">
        <f t="shared" si="74"/>
        <v>-1.06</v>
      </c>
      <c r="AG229">
        <v>0</v>
      </c>
      <c r="AH229" t="str">
        <f t="shared" si="75"/>
        <v>No</v>
      </c>
    </row>
    <row r="230" spans="1:34">
      <c r="A230">
        <v>229</v>
      </c>
      <c r="B230">
        <v>54</v>
      </c>
      <c r="C230" t="str">
        <f t="shared" si="57"/>
        <v>47-56</v>
      </c>
      <c r="D230">
        <f t="shared" si="58"/>
        <v>-0.28000000000000003</v>
      </c>
      <c r="E230">
        <v>1</v>
      </c>
      <c r="F230">
        <f t="shared" si="59"/>
        <v>0.38</v>
      </c>
      <c r="G230">
        <v>3</v>
      </c>
      <c r="H230">
        <f t="shared" si="60"/>
        <v>1.1599999999999999</v>
      </c>
      <c r="I230">
        <v>110</v>
      </c>
      <c r="J230" s="2" t="str">
        <f t="shared" si="61"/>
        <v>94-120</v>
      </c>
      <c r="K230" s="2">
        <f t="shared" si="62"/>
        <v>-0.32</v>
      </c>
      <c r="L230">
        <v>206</v>
      </c>
      <c r="M230" t="str">
        <f t="shared" si="63"/>
        <v>201-250</v>
      </c>
      <c r="N230">
        <f t="shared" si="64"/>
        <v>0.17</v>
      </c>
      <c r="O230">
        <v>0</v>
      </c>
      <c r="P230">
        <f t="shared" si="65"/>
        <v>-0.02</v>
      </c>
      <c r="Q230">
        <v>2</v>
      </c>
      <c r="R230">
        <f t="shared" si="66"/>
        <v>0.33</v>
      </c>
      <c r="S230">
        <v>108</v>
      </c>
      <c r="T230" t="str">
        <f t="shared" si="67"/>
        <v>101-130</v>
      </c>
      <c r="U230">
        <f t="shared" si="68"/>
        <v>1.1499999999999999</v>
      </c>
      <c r="V230">
        <v>1</v>
      </c>
      <c r="W230">
        <f t="shared" si="69"/>
        <v>1.36</v>
      </c>
      <c r="X230">
        <v>0</v>
      </c>
      <c r="Y230" t="str">
        <f t="shared" si="70"/>
        <v>0.1-1.5</v>
      </c>
      <c r="Z230">
        <f t="shared" si="71"/>
        <v>-0.48</v>
      </c>
      <c r="AA230">
        <v>1</v>
      </c>
      <c r="AB230">
        <f t="shared" si="72"/>
        <v>0.78</v>
      </c>
      <c r="AC230">
        <v>1</v>
      </c>
      <c r="AD230">
        <f t="shared" si="73"/>
        <v>0.91</v>
      </c>
      <c r="AE230">
        <v>1</v>
      </c>
      <c r="AF230">
        <f t="shared" si="74"/>
        <v>-1.06</v>
      </c>
      <c r="AG230">
        <v>1</v>
      </c>
      <c r="AH230" t="str">
        <f t="shared" si="75"/>
        <v>Yes</v>
      </c>
    </row>
    <row r="231" spans="1:34">
      <c r="A231">
        <v>230</v>
      </c>
      <c r="B231">
        <v>66</v>
      </c>
      <c r="C231" t="str">
        <f t="shared" si="57"/>
        <v>57-66</v>
      </c>
      <c r="D231">
        <f t="shared" si="58"/>
        <v>0.64</v>
      </c>
      <c r="E231">
        <v>1</v>
      </c>
      <c r="F231">
        <f t="shared" si="59"/>
        <v>0.38</v>
      </c>
      <c r="G231">
        <v>3</v>
      </c>
      <c r="H231">
        <f t="shared" si="60"/>
        <v>1.1599999999999999</v>
      </c>
      <c r="I231">
        <v>112</v>
      </c>
      <c r="J231" s="2" t="str">
        <f t="shared" si="61"/>
        <v>94-120</v>
      </c>
      <c r="K231" s="2">
        <f t="shared" si="62"/>
        <v>-0.32</v>
      </c>
      <c r="L231">
        <v>212</v>
      </c>
      <c r="M231" t="str">
        <f t="shared" si="63"/>
        <v>201-250</v>
      </c>
      <c r="N231">
        <f t="shared" si="64"/>
        <v>0.17</v>
      </c>
      <c r="O231">
        <v>0</v>
      </c>
      <c r="P231">
        <f t="shared" si="65"/>
        <v>-0.02</v>
      </c>
      <c r="Q231">
        <v>2</v>
      </c>
      <c r="R231">
        <f t="shared" si="66"/>
        <v>0.33</v>
      </c>
      <c r="S231">
        <v>132</v>
      </c>
      <c r="T231" t="str">
        <f t="shared" si="67"/>
        <v>131-160</v>
      </c>
      <c r="U231">
        <f t="shared" si="68"/>
        <v>0.2</v>
      </c>
      <c r="V231">
        <v>1</v>
      </c>
      <c r="W231">
        <f t="shared" si="69"/>
        <v>1.36</v>
      </c>
      <c r="X231">
        <v>0.1</v>
      </c>
      <c r="Y231" t="str">
        <f t="shared" si="70"/>
        <v>0.1-1.5</v>
      </c>
      <c r="Z231">
        <f t="shared" si="71"/>
        <v>-0.48</v>
      </c>
      <c r="AA231">
        <v>0</v>
      </c>
      <c r="AB231">
        <f t="shared" si="72"/>
        <v>-0.91</v>
      </c>
      <c r="AC231">
        <v>1</v>
      </c>
      <c r="AD231">
        <f t="shared" si="73"/>
        <v>0.91</v>
      </c>
      <c r="AE231">
        <v>1</v>
      </c>
      <c r="AF231">
        <f t="shared" si="74"/>
        <v>-1.06</v>
      </c>
      <c r="AG231">
        <v>1</v>
      </c>
      <c r="AH231" t="str">
        <f t="shared" si="75"/>
        <v>Yes</v>
      </c>
    </row>
    <row r="232" spans="1:34">
      <c r="A232">
        <v>231</v>
      </c>
      <c r="B232">
        <v>52</v>
      </c>
      <c r="C232" t="str">
        <f t="shared" si="57"/>
        <v>47-56</v>
      </c>
      <c r="D232">
        <f t="shared" si="58"/>
        <v>-0.28000000000000003</v>
      </c>
      <c r="E232">
        <v>0</v>
      </c>
      <c r="F232">
        <f t="shared" si="59"/>
        <v>-0.89</v>
      </c>
      <c r="G232">
        <v>2</v>
      </c>
      <c r="H232">
        <f t="shared" si="60"/>
        <v>-1.1599999999999999</v>
      </c>
      <c r="I232">
        <v>136</v>
      </c>
      <c r="J232" s="2" t="str">
        <f t="shared" si="61"/>
        <v>121-150</v>
      </c>
      <c r="K232" s="2">
        <f t="shared" si="62"/>
        <v>0.04</v>
      </c>
      <c r="L232">
        <v>196</v>
      </c>
      <c r="M232" t="str">
        <f t="shared" si="63"/>
        <v>126-200</v>
      </c>
      <c r="N232">
        <f t="shared" si="64"/>
        <v>-0.16</v>
      </c>
      <c r="O232">
        <v>0</v>
      </c>
      <c r="P232">
        <f t="shared" si="65"/>
        <v>-0.02</v>
      </c>
      <c r="Q232">
        <v>2</v>
      </c>
      <c r="R232">
        <f t="shared" si="66"/>
        <v>0.33</v>
      </c>
      <c r="S232">
        <v>169</v>
      </c>
      <c r="T232" t="str">
        <f t="shared" si="67"/>
        <v>161-190</v>
      </c>
      <c r="U232">
        <f t="shared" si="68"/>
        <v>-1.01</v>
      </c>
      <c r="V232">
        <v>0</v>
      </c>
      <c r="W232">
        <f t="shared" si="69"/>
        <v>-0.64</v>
      </c>
      <c r="X232">
        <v>0.1</v>
      </c>
      <c r="Y232" t="str">
        <f t="shared" si="70"/>
        <v>0.1-1.5</v>
      </c>
      <c r="Z232">
        <f t="shared" si="71"/>
        <v>-0.48</v>
      </c>
      <c r="AA232">
        <v>1</v>
      </c>
      <c r="AB232">
        <f t="shared" si="72"/>
        <v>0.78</v>
      </c>
      <c r="AC232">
        <v>0</v>
      </c>
      <c r="AD232">
        <f t="shared" si="73"/>
        <v>-0.87</v>
      </c>
      <c r="AE232">
        <v>1</v>
      </c>
      <c r="AF232">
        <f t="shared" si="74"/>
        <v>-1.06</v>
      </c>
      <c r="AG232">
        <v>0</v>
      </c>
      <c r="AH232" t="str">
        <f t="shared" si="75"/>
        <v>No</v>
      </c>
    </row>
    <row r="233" spans="1:34">
      <c r="A233">
        <v>232</v>
      </c>
      <c r="B233">
        <v>55</v>
      </c>
      <c r="C233" t="str">
        <f t="shared" si="57"/>
        <v>47-56</v>
      </c>
      <c r="D233">
        <f t="shared" si="58"/>
        <v>-0.28000000000000003</v>
      </c>
      <c r="E233">
        <v>0</v>
      </c>
      <c r="F233">
        <f t="shared" si="59"/>
        <v>-0.89</v>
      </c>
      <c r="G233">
        <v>3</v>
      </c>
      <c r="H233">
        <f t="shared" si="60"/>
        <v>1.1599999999999999</v>
      </c>
      <c r="I233">
        <v>180</v>
      </c>
      <c r="J233" s="2" t="str">
        <f t="shared" si="61"/>
        <v>180+</v>
      </c>
      <c r="K233" s="2">
        <f t="shared" si="62"/>
        <v>1.55</v>
      </c>
      <c r="L233">
        <v>327</v>
      </c>
      <c r="M233" t="str">
        <f t="shared" si="63"/>
        <v>351-400</v>
      </c>
      <c r="N233">
        <f t="shared" si="64"/>
        <v>0.17</v>
      </c>
      <c r="O233">
        <v>0</v>
      </c>
      <c r="P233">
        <f t="shared" si="65"/>
        <v>-0.02</v>
      </c>
      <c r="Q233">
        <v>1</v>
      </c>
      <c r="R233">
        <f t="shared" si="66"/>
        <v>1.26</v>
      </c>
      <c r="S233">
        <v>117</v>
      </c>
      <c r="T233" t="str">
        <f t="shared" si="67"/>
        <v>101-130</v>
      </c>
      <c r="U233">
        <f t="shared" si="68"/>
        <v>1.1499999999999999</v>
      </c>
      <c r="V233">
        <v>1</v>
      </c>
      <c r="W233">
        <f t="shared" si="69"/>
        <v>1.36</v>
      </c>
      <c r="X233">
        <v>3.4</v>
      </c>
      <c r="Y233" t="str">
        <f t="shared" si="70"/>
        <v>2.9-4</v>
      </c>
      <c r="Z233">
        <f t="shared" si="71"/>
        <v>2.42</v>
      </c>
      <c r="AA233">
        <v>1</v>
      </c>
      <c r="AB233">
        <f t="shared" si="72"/>
        <v>0.78</v>
      </c>
      <c r="AC233">
        <v>0</v>
      </c>
      <c r="AD233">
        <f t="shared" si="73"/>
        <v>-0.87</v>
      </c>
      <c r="AE233">
        <v>1</v>
      </c>
      <c r="AF233">
        <f t="shared" si="74"/>
        <v>-1.06</v>
      </c>
      <c r="AG233">
        <v>1</v>
      </c>
      <c r="AH233" t="str">
        <f t="shared" si="75"/>
        <v>Yes</v>
      </c>
    </row>
    <row r="234" spans="1:34">
      <c r="A234">
        <v>233</v>
      </c>
      <c r="B234">
        <v>49</v>
      </c>
      <c r="C234" t="str">
        <f t="shared" si="57"/>
        <v>47-56</v>
      </c>
      <c r="D234">
        <f t="shared" si="58"/>
        <v>-0.28000000000000003</v>
      </c>
      <c r="E234">
        <v>1</v>
      </c>
      <c r="F234">
        <f t="shared" si="59"/>
        <v>0.38</v>
      </c>
      <c r="G234">
        <v>2</v>
      </c>
      <c r="H234">
        <f t="shared" si="60"/>
        <v>-1.1599999999999999</v>
      </c>
      <c r="I234">
        <v>118</v>
      </c>
      <c r="J234" s="2" t="str">
        <f t="shared" si="61"/>
        <v>94-120</v>
      </c>
      <c r="K234" s="2">
        <f t="shared" si="62"/>
        <v>-0.32</v>
      </c>
      <c r="L234">
        <v>149</v>
      </c>
      <c r="M234" t="str">
        <f t="shared" si="63"/>
        <v>126-200</v>
      </c>
      <c r="N234">
        <f t="shared" si="64"/>
        <v>-0.16</v>
      </c>
      <c r="O234">
        <v>0</v>
      </c>
      <c r="P234">
        <f t="shared" si="65"/>
        <v>-0.02</v>
      </c>
      <c r="Q234">
        <v>2</v>
      </c>
      <c r="R234">
        <f t="shared" si="66"/>
        <v>0.33</v>
      </c>
      <c r="S234">
        <v>126</v>
      </c>
      <c r="T234" t="str">
        <f t="shared" si="67"/>
        <v>101-130</v>
      </c>
      <c r="U234">
        <f t="shared" si="68"/>
        <v>1.1499999999999999</v>
      </c>
      <c r="V234">
        <v>0</v>
      </c>
      <c r="W234">
        <f t="shared" si="69"/>
        <v>-0.64</v>
      </c>
      <c r="X234">
        <v>0.8</v>
      </c>
      <c r="Y234" t="str">
        <f t="shared" si="70"/>
        <v>0.1-1.5</v>
      </c>
      <c r="Z234">
        <f t="shared" si="71"/>
        <v>-0.48</v>
      </c>
      <c r="AA234">
        <v>0</v>
      </c>
      <c r="AB234">
        <f t="shared" si="72"/>
        <v>-0.91</v>
      </c>
      <c r="AC234">
        <v>3</v>
      </c>
      <c r="AD234">
        <f t="shared" si="73"/>
        <v>1.9</v>
      </c>
      <c r="AE234">
        <v>1</v>
      </c>
      <c r="AF234">
        <f t="shared" si="74"/>
        <v>-1.06</v>
      </c>
      <c r="AG234">
        <v>1</v>
      </c>
      <c r="AH234" t="str">
        <f t="shared" si="75"/>
        <v>Yes</v>
      </c>
    </row>
    <row r="235" spans="1:34">
      <c r="A235">
        <v>234</v>
      </c>
      <c r="B235">
        <v>74</v>
      </c>
      <c r="C235" t="str">
        <f t="shared" si="57"/>
        <v>66+</v>
      </c>
      <c r="D235">
        <f t="shared" si="58"/>
        <v>0.17</v>
      </c>
      <c r="E235">
        <v>0</v>
      </c>
      <c r="F235">
        <f t="shared" si="59"/>
        <v>-0.89</v>
      </c>
      <c r="G235">
        <v>1</v>
      </c>
      <c r="H235">
        <f t="shared" si="60"/>
        <v>-1.35</v>
      </c>
      <c r="I235">
        <v>120</v>
      </c>
      <c r="J235" s="2" t="str">
        <f t="shared" si="61"/>
        <v>94-120</v>
      </c>
      <c r="K235" s="2">
        <f t="shared" si="62"/>
        <v>-0.32</v>
      </c>
      <c r="L235">
        <v>269</v>
      </c>
      <c r="M235" t="str">
        <f t="shared" si="63"/>
        <v>251-300</v>
      </c>
      <c r="N235">
        <f t="shared" si="64"/>
        <v>0.48</v>
      </c>
      <c r="O235">
        <v>0</v>
      </c>
      <c r="P235">
        <f t="shared" si="65"/>
        <v>-0.02</v>
      </c>
      <c r="Q235">
        <v>2</v>
      </c>
      <c r="R235">
        <f t="shared" si="66"/>
        <v>0.33</v>
      </c>
      <c r="S235">
        <v>121</v>
      </c>
      <c r="T235" t="str">
        <f t="shared" si="67"/>
        <v>101-130</v>
      </c>
      <c r="U235">
        <f t="shared" si="68"/>
        <v>1.1499999999999999</v>
      </c>
      <c r="V235">
        <v>1</v>
      </c>
      <c r="W235">
        <f t="shared" si="69"/>
        <v>1.36</v>
      </c>
      <c r="X235">
        <v>0.2</v>
      </c>
      <c r="Y235" t="str">
        <f t="shared" si="70"/>
        <v>0.1-1.5</v>
      </c>
      <c r="Z235">
        <f t="shared" si="71"/>
        <v>-0.48</v>
      </c>
      <c r="AA235">
        <v>0</v>
      </c>
      <c r="AB235">
        <f t="shared" si="72"/>
        <v>-0.91</v>
      </c>
      <c r="AC235">
        <v>1</v>
      </c>
      <c r="AD235">
        <f t="shared" si="73"/>
        <v>0.91</v>
      </c>
      <c r="AE235">
        <v>1</v>
      </c>
      <c r="AF235">
        <f t="shared" si="74"/>
        <v>-1.06</v>
      </c>
      <c r="AG235">
        <v>0</v>
      </c>
      <c r="AH235" t="str">
        <f t="shared" si="75"/>
        <v>No</v>
      </c>
    </row>
    <row r="236" spans="1:34">
      <c r="A236">
        <v>235</v>
      </c>
      <c r="B236">
        <v>54</v>
      </c>
      <c r="C236" t="str">
        <f t="shared" si="57"/>
        <v>47-56</v>
      </c>
      <c r="D236">
        <f t="shared" si="58"/>
        <v>-0.28000000000000003</v>
      </c>
      <c r="E236">
        <v>0</v>
      </c>
      <c r="F236">
        <f t="shared" si="59"/>
        <v>-0.89</v>
      </c>
      <c r="G236">
        <v>2</v>
      </c>
      <c r="H236">
        <f t="shared" si="60"/>
        <v>-1.1599999999999999</v>
      </c>
      <c r="I236">
        <v>160</v>
      </c>
      <c r="J236" s="2" t="str">
        <f t="shared" si="61"/>
        <v>151-180</v>
      </c>
      <c r="K236" s="2">
        <f t="shared" si="62"/>
        <v>0.56999999999999995</v>
      </c>
      <c r="L236">
        <v>201</v>
      </c>
      <c r="M236" t="str">
        <f t="shared" si="63"/>
        <v>201-250</v>
      </c>
      <c r="N236">
        <f t="shared" si="64"/>
        <v>0.17</v>
      </c>
      <c r="O236">
        <v>0</v>
      </c>
      <c r="P236">
        <f t="shared" si="65"/>
        <v>-0.02</v>
      </c>
      <c r="Q236">
        <v>0</v>
      </c>
      <c r="R236">
        <f t="shared" si="66"/>
        <v>-0.36</v>
      </c>
      <c r="S236">
        <v>163</v>
      </c>
      <c r="T236" t="str">
        <f t="shared" si="67"/>
        <v>161-190</v>
      </c>
      <c r="U236">
        <f t="shared" si="68"/>
        <v>-1.01</v>
      </c>
      <c r="V236">
        <v>0</v>
      </c>
      <c r="W236">
        <f t="shared" si="69"/>
        <v>-0.64</v>
      </c>
      <c r="X236">
        <v>0</v>
      </c>
      <c r="Y236" t="str">
        <f t="shared" si="70"/>
        <v>0.1-1.5</v>
      </c>
      <c r="Z236">
        <f t="shared" si="71"/>
        <v>-0.48</v>
      </c>
      <c r="AA236">
        <v>0</v>
      </c>
      <c r="AB236">
        <f t="shared" si="72"/>
        <v>-0.91</v>
      </c>
      <c r="AC236">
        <v>1</v>
      </c>
      <c r="AD236">
        <f t="shared" si="73"/>
        <v>0.91</v>
      </c>
      <c r="AE236">
        <v>1</v>
      </c>
      <c r="AF236">
        <f t="shared" si="74"/>
        <v>-1.06</v>
      </c>
      <c r="AG236">
        <v>0</v>
      </c>
      <c r="AH236" t="str">
        <f t="shared" si="75"/>
        <v>No</v>
      </c>
    </row>
    <row r="237" spans="1:34">
      <c r="A237">
        <v>236</v>
      </c>
      <c r="B237">
        <v>54</v>
      </c>
      <c r="C237" t="str">
        <f t="shared" si="57"/>
        <v>47-56</v>
      </c>
      <c r="D237">
        <f t="shared" si="58"/>
        <v>-0.28000000000000003</v>
      </c>
      <c r="E237">
        <v>1</v>
      </c>
      <c r="F237">
        <f t="shared" si="59"/>
        <v>0.38</v>
      </c>
      <c r="G237">
        <v>3</v>
      </c>
      <c r="H237">
        <f t="shared" si="60"/>
        <v>1.1599999999999999</v>
      </c>
      <c r="I237">
        <v>122</v>
      </c>
      <c r="J237" s="2" t="str">
        <f t="shared" si="61"/>
        <v>121-150</v>
      </c>
      <c r="K237" s="2">
        <f t="shared" si="62"/>
        <v>0.04</v>
      </c>
      <c r="L237">
        <v>286</v>
      </c>
      <c r="M237" t="str">
        <f t="shared" si="63"/>
        <v>251-300</v>
      </c>
      <c r="N237">
        <f t="shared" si="64"/>
        <v>0.48</v>
      </c>
      <c r="O237">
        <v>0</v>
      </c>
      <c r="P237">
        <f t="shared" si="65"/>
        <v>-0.02</v>
      </c>
      <c r="Q237">
        <v>2</v>
      </c>
      <c r="R237">
        <f t="shared" si="66"/>
        <v>0.33</v>
      </c>
      <c r="S237">
        <v>116</v>
      </c>
      <c r="T237" t="str">
        <f t="shared" si="67"/>
        <v>101-130</v>
      </c>
      <c r="U237">
        <f t="shared" si="68"/>
        <v>1.1499999999999999</v>
      </c>
      <c r="V237">
        <v>1</v>
      </c>
      <c r="W237">
        <f t="shared" si="69"/>
        <v>1.36</v>
      </c>
      <c r="X237">
        <v>3.2</v>
      </c>
      <c r="Y237" t="str">
        <f t="shared" si="70"/>
        <v>2.9-4</v>
      </c>
      <c r="Z237">
        <f t="shared" si="71"/>
        <v>2.42</v>
      </c>
      <c r="AA237">
        <v>1</v>
      </c>
      <c r="AB237">
        <f t="shared" si="72"/>
        <v>0.78</v>
      </c>
      <c r="AC237">
        <v>2</v>
      </c>
      <c r="AD237">
        <f t="shared" si="73"/>
        <v>1.65</v>
      </c>
      <c r="AE237">
        <v>1</v>
      </c>
      <c r="AF237">
        <f t="shared" si="74"/>
        <v>-1.06</v>
      </c>
      <c r="AG237">
        <v>1</v>
      </c>
      <c r="AH237" t="str">
        <f t="shared" si="75"/>
        <v>Yes</v>
      </c>
    </row>
    <row r="238" spans="1:34">
      <c r="A238">
        <v>237</v>
      </c>
      <c r="B238">
        <v>56</v>
      </c>
      <c r="C238" t="str">
        <f t="shared" si="57"/>
        <v>47-56</v>
      </c>
      <c r="D238">
        <f t="shared" si="58"/>
        <v>-0.28000000000000003</v>
      </c>
      <c r="E238">
        <v>1</v>
      </c>
      <c r="F238">
        <f t="shared" si="59"/>
        <v>0.38</v>
      </c>
      <c r="G238">
        <v>3</v>
      </c>
      <c r="H238">
        <f t="shared" si="60"/>
        <v>1.1599999999999999</v>
      </c>
      <c r="I238">
        <v>130</v>
      </c>
      <c r="J238" s="2" t="str">
        <f t="shared" si="61"/>
        <v>121-150</v>
      </c>
      <c r="K238" s="2">
        <f t="shared" si="62"/>
        <v>0.04</v>
      </c>
      <c r="L238">
        <v>283</v>
      </c>
      <c r="M238" t="str">
        <f t="shared" si="63"/>
        <v>251-300</v>
      </c>
      <c r="N238">
        <f t="shared" si="64"/>
        <v>0.48</v>
      </c>
      <c r="O238">
        <v>1</v>
      </c>
      <c r="P238">
        <f t="shared" si="65"/>
        <v>0.12</v>
      </c>
      <c r="Q238">
        <v>2</v>
      </c>
      <c r="R238">
        <f t="shared" si="66"/>
        <v>0.33</v>
      </c>
      <c r="S238">
        <v>103</v>
      </c>
      <c r="T238" t="str">
        <f t="shared" si="67"/>
        <v>101-130</v>
      </c>
      <c r="U238">
        <f t="shared" si="68"/>
        <v>1.1499999999999999</v>
      </c>
      <c r="V238">
        <v>1</v>
      </c>
      <c r="W238">
        <f t="shared" si="69"/>
        <v>1.36</v>
      </c>
      <c r="X238">
        <v>1.6</v>
      </c>
      <c r="Y238" t="str">
        <f t="shared" si="70"/>
        <v>1.6-2.8</v>
      </c>
      <c r="Z238">
        <f t="shared" si="71"/>
        <v>0.99</v>
      </c>
      <c r="AA238">
        <v>2</v>
      </c>
      <c r="AB238">
        <f t="shared" si="72"/>
        <v>0.45</v>
      </c>
      <c r="AC238">
        <v>0</v>
      </c>
      <c r="AD238">
        <f t="shared" si="73"/>
        <v>-0.87</v>
      </c>
      <c r="AE238">
        <v>3</v>
      </c>
      <c r="AF238">
        <f t="shared" si="74"/>
        <v>1.32</v>
      </c>
      <c r="AG238">
        <v>1</v>
      </c>
      <c r="AH238" t="str">
        <f t="shared" si="75"/>
        <v>Yes</v>
      </c>
    </row>
    <row r="239" spans="1:34">
      <c r="A239">
        <v>238</v>
      </c>
      <c r="B239">
        <v>46</v>
      </c>
      <c r="C239" t="str">
        <f t="shared" si="57"/>
        <v>37-46</v>
      </c>
      <c r="D239">
        <f t="shared" si="58"/>
        <v>-0.83</v>
      </c>
      <c r="E239">
        <v>1</v>
      </c>
      <c r="F239">
        <f t="shared" si="59"/>
        <v>0.38</v>
      </c>
      <c r="G239">
        <v>3</v>
      </c>
      <c r="H239">
        <f t="shared" si="60"/>
        <v>1.1599999999999999</v>
      </c>
      <c r="I239">
        <v>120</v>
      </c>
      <c r="J239" s="2" t="str">
        <f t="shared" si="61"/>
        <v>94-120</v>
      </c>
      <c r="K239" s="2">
        <f t="shared" si="62"/>
        <v>-0.32</v>
      </c>
      <c r="L239">
        <v>249</v>
      </c>
      <c r="M239" t="str">
        <f t="shared" si="63"/>
        <v>201-250</v>
      </c>
      <c r="N239">
        <f t="shared" si="64"/>
        <v>0.17</v>
      </c>
      <c r="O239">
        <v>0</v>
      </c>
      <c r="P239">
        <f t="shared" si="65"/>
        <v>-0.02</v>
      </c>
      <c r="Q239">
        <v>2</v>
      </c>
      <c r="R239">
        <f t="shared" si="66"/>
        <v>0.33</v>
      </c>
      <c r="S239">
        <v>144</v>
      </c>
      <c r="T239" t="str">
        <f t="shared" si="67"/>
        <v>131-160</v>
      </c>
      <c r="U239">
        <f t="shared" si="68"/>
        <v>0.2</v>
      </c>
      <c r="V239">
        <v>0</v>
      </c>
      <c r="W239">
        <f t="shared" si="69"/>
        <v>-0.64</v>
      </c>
      <c r="X239">
        <v>0.8</v>
      </c>
      <c r="Y239" t="str">
        <f t="shared" si="70"/>
        <v>0.1-1.5</v>
      </c>
      <c r="Z239">
        <f t="shared" si="71"/>
        <v>-0.48</v>
      </c>
      <c r="AA239">
        <v>0</v>
      </c>
      <c r="AB239">
        <f t="shared" si="72"/>
        <v>-0.91</v>
      </c>
      <c r="AC239">
        <v>0</v>
      </c>
      <c r="AD239">
        <f t="shared" si="73"/>
        <v>-0.87</v>
      </c>
      <c r="AE239">
        <v>3</v>
      </c>
      <c r="AF239">
        <f t="shared" si="74"/>
        <v>1.32</v>
      </c>
      <c r="AG239">
        <v>1</v>
      </c>
      <c r="AH239" t="str">
        <f t="shared" si="75"/>
        <v>Yes</v>
      </c>
    </row>
    <row r="240" spans="1:34">
      <c r="A240">
        <v>239</v>
      </c>
      <c r="B240">
        <v>49</v>
      </c>
      <c r="C240" t="str">
        <f t="shared" si="57"/>
        <v>47-56</v>
      </c>
      <c r="D240">
        <f t="shared" si="58"/>
        <v>-0.28000000000000003</v>
      </c>
      <c r="E240">
        <v>0</v>
      </c>
      <c r="F240">
        <f t="shared" si="59"/>
        <v>-0.89</v>
      </c>
      <c r="G240">
        <v>1</v>
      </c>
      <c r="H240">
        <f t="shared" si="60"/>
        <v>-1.35</v>
      </c>
      <c r="I240">
        <v>134</v>
      </c>
      <c r="J240" s="2" t="str">
        <f t="shared" si="61"/>
        <v>121-150</v>
      </c>
      <c r="K240" s="2">
        <f t="shared" si="62"/>
        <v>0.04</v>
      </c>
      <c r="L240">
        <v>271</v>
      </c>
      <c r="M240" t="str">
        <f t="shared" si="63"/>
        <v>251-300</v>
      </c>
      <c r="N240">
        <f t="shared" si="64"/>
        <v>0.48</v>
      </c>
      <c r="O240">
        <v>0</v>
      </c>
      <c r="P240">
        <f t="shared" si="65"/>
        <v>-0.02</v>
      </c>
      <c r="Q240">
        <v>0</v>
      </c>
      <c r="R240">
        <f t="shared" si="66"/>
        <v>-0.36</v>
      </c>
      <c r="S240">
        <v>162</v>
      </c>
      <c r="T240" t="str">
        <f t="shared" si="67"/>
        <v>161-190</v>
      </c>
      <c r="U240">
        <f t="shared" si="68"/>
        <v>-1.01</v>
      </c>
      <c r="V240">
        <v>0</v>
      </c>
      <c r="W240">
        <f t="shared" si="69"/>
        <v>-0.64</v>
      </c>
      <c r="X240">
        <v>0</v>
      </c>
      <c r="Y240" t="str">
        <f t="shared" si="70"/>
        <v>0.1-1.5</v>
      </c>
      <c r="Z240">
        <f t="shared" si="71"/>
        <v>-0.48</v>
      </c>
      <c r="AA240">
        <v>1</v>
      </c>
      <c r="AB240">
        <f t="shared" si="72"/>
        <v>0.78</v>
      </c>
      <c r="AC240">
        <v>0</v>
      </c>
      <c r="AD240">
        <f t="shared" si="73"/>
        <v>-0.87</v>
      </c>
      <c r="AE240">
        <v>1</v>
      </c>
      <c r="AF240">
        <f t="shared" si="74"/>
        <v>-1.06</v>
      </c>
      <c r="AG240">
        <v>0</v>
      </c>
      <c r="AH240" t="str">
        <f t="shared" si="75"/>
        <v>No</v>
      </c>
    </row>
    <row r="241" spans="1:34">
      <c r="A241">
        <v>240</v>
      </c>
      <c r="B241">
        <v>42</v>
      </c>
      <c r="C241" t="str">
        <f t="shared" si="57"/>
        <v>37-46</v>
      </c>
      <c r="D241">
        <f t="shared" si="58"/>
        <v>-0.83</v>
      </c>
      <c r="E241">
        <v>1</v>
      </c>
      <c r="F241">
        <f t="shared" si="59"/>
        <v>0.38</v>
      </c>
      <c r="G241">
        <v>1</v>
      </c>
      <c r="H241">
        <f t="shared" si="60"/>
        <v>-1.35</v>
      </c>
      <c r="I241">
        <v>120</v>
      </c>
      <c r="J241" s="2" t="str">
        <f t="shared" si="61"/>
        <v>94-120</v>
      </c>
      <c r="K241" s="2">
        <f t="shared" si="62"/>
        <v>-0.32</v>
      </c>
      <c r="L241">
        <v>295</v>
      </c>
      <c r="M241" t="str">
        <f t="shared" si="63"/>
        <v>251-300</v>
      </c>
      <c r="N241">
        <f t="shared" si="64"/>
        <v>0.48</v>
      </c>
      <c r="O241">
        <v>0</v>
      </c>
      <c r="P241">
        <f t="shared" si="65"/>
        <v>-0.02</v>
      </c>
      <c r="Q241">
        <v>0</v>
      </c>
      <c r="R241">
        <f t="shared" si="66"/>
        <v>-0.36</v>
      </c>
      <c r="S241">
        <v>162</v>
      </c>
      <c r="T241" t="str">
        <f t="shared" si="67"/>
        <v>161-190</v>
      </c>
      <c r="U241">
        <f t="shared" si="68"/>
        <v>-1.01</v>
      </c>
      <c r="V241">
        <v>0</v>
      </c>
      <c r="W241">
        <f t="shared" si="69"/>
        <v>-0.64</v>
      </c>
      <c r="X241">
        <v>0</v>
      </c>
      <c r="Y241" t="str">
        <f t="shared" si="70"/>
        <v>0.1-1.5</v>
      </c>
      <c r="Z241">
        <f t="shared" si="71"/>
        <v>-0.48</v>
      </c>
      <c r="AA241">
        <v>0</v>
      </c>
      <c r="AB241">
        <f t="shared" si="72"/>
        <v>-0.91</v>
      </c>
      <c r="AC241">
        <v>0</v>
      </c>
      <c r="AD241">
        <f t="shared" si="73"/>
        <v>-0.87</v>
      </c>
      <c r="AE241">
        <v>1</v>
      </c>
      <c r="AF241">
        <f t="shared" si="74"/>
        <v>-1.06</v>
      </c>
      <c r="AG241">
        <v>0</v>
      </c>
      <c r="AH241" t="str">
        <f t="shared" si="75"/>
        <v>No</v>
      </c>
    </row>
    <row r="242" spans="1:34">
      <c r="A242">
        <v>241</v>
      </c>
      <c r="B242">
        <v>41</v>
      </c>
      <c r="C242" t="str">
        <f t="shared" si="57"/>
        <v>37-46</v>
      </c>
      <c r="D242">
        <f t="shared" si="58"/>
        <v>-0.83</v>
      </c>
      <c r="E242">
        <v>1</v>
      </c>
      <c r="F242">
        <f t="shared" si="59"/>
        <v>0.38</v>
      </c>
      <c r="G242">
        <v>1</v>
      </c>
      <c r="H242">
        <f t="shared" si="60"/>
        <v>-1.35</v>
      </c>
      <c r="I242">
        <v>110</v>
      </c>
      <c r="J242" s="2" t="str">
        <f t="shared" si="61"/>
        <v>94-120</v>
      </c>
      <c r="K242" s="2">
        <f t="shared" si="62"/>
        <v>-0.32</v>
      </c>
      <c r="L242">
        <v>235</v>
      </c>
      <c r="M242" t="str">
        <f t="shared" si="63"/>
        <v>201-250</v>
      </c>
      <c r="N242">
        <f t="shared" si="64"/>
        <v>0.17</v>
      </c>
      <c r="O242">
        <v>0</v>
      </c>
      <c r="P242">
        <f t="shared" si="65"/>
        <v>-0.02</v>
      </c>
      <c r="Q242">
        <v>0</v>
      </c>
      <c r="R242">
        <f t="shared" si="66"/>
        <v>-0.36</v>
      </c>
      <c r="S242">
        <v>153</v>
      </c>
      <c r="T242" t="str">
        <f t="shared" si="67"/>
        <v>131-160</v>
      </c>
      <c r="U242">
        <f t="shared" si="68"/>
        <v>0.2</v>
      </c>
      <c r="V242">
        <v>0</v>
      </c>
      <c r="W242">
        <f t="shared" si="69"/>
        <v>-0.64</v>
      </c>
      <c r="X242">
        <v>0</v>
      </c>
      <c r="Y242" t="str">
        <f t="shared" si="70"/>
        <v>0.1-1.5</v>
      </c>
      <c r="Z242">
        <f t="shared" si="71"/>
        <v>-0.48</v>
      </c>
      <c r="AA242">
        <v>0</v>
      </c>
      <c r="AB242">
        <f t="shared" si="72"/>
        <v>-0.91</v>
      </c>
      <c r="AC242">
        <v>0</v>
      </c>
      <c r="AD242">
        <f t="shared" si="73"/>
        <v>-0.87</v>
      </c>
      <c r="AE242">
        <v>1</v>
      </c>
      <c r="AF242">
        <f t="shared" si="74"/>
        <v>-1.06</v>
      </c>
      <c r="AG242">
        <v>0</v>
      </c>
      <c r="AH242" t="str">
        <f t="shared" si="75"/>
        <v>No</v>
      </c>
    </row>
    <row r="243" spans="1:34">
      <c r="A243">
        <v>242</v>
      </c>
      <c r="B243">
        <v>41</v>
      </c>
      <c r="C243" t="str">
        <f t="shared" si="57"/>
        <v>37-46</v>
      </c>
      <c r="D243">
        <f t="shared" si="58"/>
        <v>-0.83</v>
      </c>
      <c r="E243">
        <v>0</v>
      </c>
      <c r="F243">
        <f t="shared" si="59"/>
        <v>-0.89</v>
      </c>
      <c r="G243">
        <v>1</v>
      </c>
      <c r="H243">
        <f t="shared" si="60"/>
        <v>-1.35</v>
      </c>
      <c r="I243">
        <v>126</v>
      </c>
      <c r="J243" s="2" t="str">
        <f t="shared" si="61"/>
        <v>121-150</v>
      </c>
      <c r="K243" s="2">
        <f t="shared" si="62"/>
        <v>0.04</v>
      </c>
      <c r="L243">
        <v>306</v>
      </c>
      <c r="M243" t="str">
        <f t="shared" si="63"/>
        <v>351-400</v>
      </c>
      <c r="N243">
        <f t="shared" si="64"/>
        <v>0.17</v>
      </c>
      <c r="O243">
        <v>0</v>
      </c>
      <c r="P243">
        <f t="shared" si="65"/>
        <v>-0.02</v>
      </c>
      <c r="Q243">
        <v>0</v>
      </c>
      <c r="R243">
        <f t="shared" si="66"/>
        <v>-0.36</v>
      </c>
      <c r="S243">
        <v>163</v>
      </c>
      <c r="T243" t="str">
        <f t="shared" si="67"/>
        <v>161-190</v>
      </c>
      <c r="U243">
        <f t="shared" si="68"/>
        <v>-1.01</v>
      </c>
      <c r="V243">
        <v>0</v>
      </c>
      <c r="W243">
        <f t="shared" si="69"/>
        <v>-0.64</v>
      </c>
      <c r="X243">
        <v>0</v>
      </c>
      <c r="Y243" t="str">
        <f t="shared" si="70"/>
        <v>0.1-1.5</v>
      </c>
      <c r="Z243">
        <f t="shared" si="71"/>
        <v>-0.48</v>
      </c>
      <c r="AA243">
        <v>0</v>
      </c>
      <c r="AB243">
        <f t="shared" si="72"/>
        <v>-0.91</v>
      </c>
      <c r="AC243">
        <v>0</v>
      </c>
      <c r="AD243">
        <f t="shared" si="73"/>
        <v>-0.87</v>
      </c>
      <c r="AE243">
        <v>1</v>
      </c>
      <c r="AF243">
        <f t="shared" si="74"/>
        <v>-1.06</v>
      </c>
      <c r="AG243">
        <v>0</v>
      </c>
      <c r="AH243" t="str">
        <f t="shared" si="75"/>
        <v>No</v>
      </c>
    </row>
    <row r="244" spans="1:34">
      <c r="A244">
        <v>243</v>
      </c>
      <c r="B244">
        <v>49</v>
      </c>
      <c r="C244" t="str">
        <f t="shared" si="57"/>
        <v>47-56</v>
      </c>
      <c r="D244">
        <f t="shared" si="58"/>
        <v>-0.28000000000000003</v>
      </c>
      <c r="E244">
        <v>0</v>
      </c>
      <c r="F244">
        <f t="shared" si="59"/>
        <v>-0.89</v>
      </c>
      <c r="G244">
        <v>3</v>
      </c>
      <c r="H244">
        <f t="shared" si="60"/>
        <v>1.1599999999999999</v>
      </c>
      <c r="I244">
        <v>130</v>
      </c>
      <c r="J244" s="2" t="str">
        <f t="shared" si="61"/>
        <v>121-150</v>
      </c>
      <c r="K244" s="2">
        <f t="shared" si="62"/>
        <v>0.04</v>
      </c>
      <c r="L244">
        <v>269</v>
      </c>
      <c r="M244" t="str">
        <f t="shared" si="63"/>
        <v>251-300</v>
      </c>
      <c r="N244">
        <f t="shared" si="64"/>
        <v>0.48</v>
      </c>
      <c r="O244">
        <v>0</v>
      </c>
      <c r="P244">
        <f t="shared" si="65"/>
        <v>-0.02</v>
      </c>
      <c r="Q244">
        <v>0</v>
      </c>
      <c r="R244">
        <f t="shared" si="66"/>
        <v>-0.36</v>
      </c>
      <c r="S244">
        <v>163</v>
      </c>
      <c r="T244" t="str">
        <f t="shared" si="67"/>
        <v>161-190</v>
      </c>
      <c r="U244">
        <f t="shared" si="68"/>
        <v>-1.01</v>
      </c>
      <c r="V244">
        <v>0</v>
      </c>
      <c r="W244">
        <f t="shared" si="69"/>
        <v>-0.64</v>
      </c>
      <c r="X244">
        <v>0</v>
      </c>
      <c r="Y244" t="str">
        <f t="shared" si="70"/>
        <v>0.1-1.5</v>
      </c>
      <c r="Z244">
        <f t="shared" si="71"/>
        <v>-0.48</v>
      </c>
      <c r="AA244">
        <v>0</v>
      </c>
      <c r="AB244">
        <f t="shared" si="72"/>
        <v>-0.91</v>
      </c>
      <c r="AC244">
        <v>0</v>
      </c>
      <c r="AD244">
        <f t="shared" si="73"/>
        <v>-0.87</v>
      </c>
      <c r="AE244">
        <v>1</v>
      </c>
      <c r="AF244">
        <f t="shared" si="74"/>
        <v>-1.06</v>
      </c>
      <c r="AG244">
        <v>0</v>
      </c>
      <c r="AH244" t="str">
        <f t="shared" si="75"/>
        <v>No</v>
      </c>
    </row>
    <row r="245" spans="1:34">
      <c r="A245">
        <v>244</v>
      </c>
      <c r="B245">
        <v>61</v>
      </c>
      <c r="C245" t="str">
        <f t="shared" si="57"/>
        <v>57-66</v>
      </c>
      <c r="D245">
        <f t="shared" si="58"/>
        <v>0.64</v>
      </c>
      <c r="E245">
        <v>1</v>
      </c>
      <c r="F245">
        <f t="shared" si="59"/>
        <v>0.38</v>
      </c>
      <c r="G245">
        <v>0</v>
      </c>
      <c r="H245">
        <f t="shared" si="60"/>
        <v>-0.66</v>
      </c>
      <c r="I245">
        <v>134</v>
      </c>
      <c r="J245" s="2" t="str">
        <f t="shared" si="61"/>
        <v>121-150</v>
      </c>
      <c r="K245" s="2">
        <f t="shared" si="62"/>
        <v>0.04</v>
      </c>
      <c r="L245">
        <v>234</v>
      </c>
      <c r="M245" t="str">
        <f t="shared" si="63"/>
        <v>201-250</v>
      </c>
      <c r="N245">
        <f t="shared" si="64"/>
        <v>0.17</v>
      </c>
      <c r="O245">
        <v>0</v>
      </c>
      <c r="P245">
        <f t="shared" si="65"/>
        <v>-0.02</v>
      </c>
      <c r="Q245">
        <v>0</v>
      </c>
      <c r="R245">
        <f t="shared" si="66"/>
        <v>-0.36</v>
      </c>
      <c r="S245">
        <v>145</v>
      </c>
      <c r="T245" t="str">
        <f t="shared" si="67"/>
        <v>131-160</v>
      </c>
      <c r="U245">
        <f t="shared" si="68"/>
        <v>0.2</v>
      </c>
      <c r="V245">
        <v>0</v>
      </c>
      <c r="W245">
        <f t="shared" si="69"/>
        <v>-0.64</v>
      </c>
      <c r="X245">
        <v>2.6</v>
      </c>
      <c r="Y245" t="str">
        <f t="shared" si="70"/>
        <v>1.6-2.8</v>
      </c>
      <c r="Z245">
        <f t="shared" si="71"/>
        <v>0.99</v>
      </c>
      <c r="AA245">
        <v>1</v>
      </c>
      <c r="AB245">
        <f t="shared" si="72"/>
        <v>0.78</v>
      </c>
      <c r="AC245">
        <v>2</v>
      </c>
      <c r="AD245">
        <f t="shared" si="73"/>
        <v>1.65</v>
      </c>
      <c r="AE245">
        <v>1</v>
      </c>
      <c r="AF245">
        <f t="shared" si="74"/>
        <v>-1.06</v>
      </c>
      <c r="AG245">
        <v>1</v>
      </c>
      <c r="AH245" t="str">
        <f t="shared" si="75"/>
        <v>Yes</v>
      </c>
    </row>
    <row r="246" spans="1:34">
      <c r="A246">
        <v>245</v>
      </c>
      <c r="B246">
        <v>60</v>
      </c>
      <c r="C246" t="str">
        <f t="shared" si="57"/>
        <v>57-66</v>
      </c>
      <c r="D246">
        <f t="shared" si="58"/>
        <v>0.64</v>
      </c>
      <c r="E246">
        <v>0</v>
      </c>
      <c r="F246">
        <f t="shared" si="59"/>
        <v>-0.89</v>
      </c>
      <c r="G246">
        <v>2</v>
      </c>
      <c r="H246">
        <f t="shared" si="60"/>
        <v>-1.1599999999999999</v>
      </c>
      <c r="I246">
        <v>120</v>
      </c>
      <c r="J246" s="2" t="str">
        <f t="shared" si="61"/>
        <v>94-120</v>
      </c>
      <c r="K246" s="2">
        <f t="shared" si="62"/>
        <v>-0.32</v>
      </c>
      <c r="L246">
        <v>178</v>
      </c>
      <c r="M246" t="str">
        <f t="shared" si="63"/>
        <v>126-200</v>
      </c>
      <c r="N246">
        <f t="shared" si="64"/>
        <v>-0.16</v>
      </c>
      <c r="O246">
        <v>1</v>
      </c>
      <c r="P246">
        <f t="shared" si="65"/>
        <v>0.12</v>
      </c>
      <c r="Q246">
        <v>0</v>
      </c>
      <c r="R246">
        <f t="shared" si="66"/>
        <v>-0.36</v>
      </c>
      <c r="S246">
        <v>96</v>
      </c>
      <c r="T246" t="str">
        <f t="shared" si="67"/>
        <v>71-100</v>
      </c>
      <c r="U246">
        <f t="shared" si="68"/>
        <v>2.11</v>
      </c>
      <c r="V246">
        <v>0</v>
      </c>
      <c r="W246">
        <f t="shared" si="69"/>
        <v>-0.64</v>
      </c>
      <c r="X246">
        <v>0</v>
      </c>
      <c r="Y246" t="str">
        <f t="shared" si="70"/>
        <v>0.1-1.5</v>
      </c>
      <c r="Z246">
        <f t="shared" si="71"/>
        <v>-0.48</v>
      </c>
      <c r="AA246">
        <v>0</v>
      </c>
      <c r="AB246">
        <f t="shared" si="72"/>
        <v>-0.91</v>
      </c>
      <c r="AC246">
        <v>0</v>
      </c>
      <c r="AD246">
        <f t="shared" si="73"/>
        <v>-0.87</v>
      </c>
      <c r="AE246">
        <v>1</v>
      </c>
      <c r="AF246">
        <f t="shared" si="74"/>
        <v>-1.06</v>
      </c>
      <c r="AG246">
        <v>0</v>
      </c>
      <c r="AH246" t="str">
        <f t="shared" si="75"/>
        <v>No</v>
      </c>
    </row>
    <row r="247" spans="1:34">
      <c r="A247">
        <v>246</v>
      </c>
      <c r="B247">
        <v>67</v>
      </c>
      <c r="C247" t="str">
        <f t="shared" si="57"/>
        <v>66+</v>
      </c>
      <c r="D247">
        <f t="shared" si="58"/>
        <v>0.17</v>
      </c>
      <c r="E247">
        <v>1</v>
      </c>
      <c r="F247">
        <f t="shared" si="59"/>
        <v>0.38</v>
      </c>
      <c r="G247">
        <v>3</v>
      </c>
      <c r="H247">
        <f t="shared" si="60"/>
        <v>1.1599999999999999</v>
      </c>
      <c r="I247">
        <v>120</v>
      </c>
      <c r="J247" s="2" t="str">
        <f t="shared" si="61"/>
        <v>94-120</v>
      </c>
      <c r="K247" s="2">
        <f t="shared" si="62"/>
        <v>-0.32</v>
      </c>
      <c r="L247">
        <v>237</v>
      </c>
      <c r="M247" t="str">
        <f t="shared" si="63"/>
        <v>201-250</v>
      </c>
      <c r="N247">
        <f t="shared" si="64"/>
        <v>0.17</v>
      </c>
      <c r="O247">
        <v>0</v>
      </c>
      <c r="P247">
        <f t="shared" si="65"/>
        <v>-0.02</v>
      </c>
      <c r="Q247">
        <v>0</v>
      </c>
      <c r="R247">
        <f t="shared" si="66"/>
        <v>-0.36</v>
      </c>
      <c r="S247">
        <v>71</v>
      </c>
      <c r="T247" t="str">
        <f t="shared" si="67"/>
        <v>71-100</v>
      </c>
      <c r="U247">
        <f t="shared" si="68"/>
        <v>2.11</v>
      </c>
      <c r="V247">
        <v>0</v>
      </c>
      <c r="W247">
        <f t="shared" si="69"/>
        <v>-0.64</v>
      </c>
      <c r="X247">
        <v>1</v>
      </c>
      <c r="Y247" t="str">
        <f t="shared" si="70"/>
        <v>0.1-1.5</v>
      </c>
      <c r="Z247">
        <f t="shared" si="71"/>
        <v>-0.48</v>
      </c>
      <c r="AA247">
        <v>1</v>
      </c>
      <c r="AB247">
        <f t="shared" si="72"/>
        <v>0.78</v>
      </c>
      <c r="AC247">
        <v>0</v>
      </c>
      <c r="AD247">
        <f t="shared" si="73"/>
        <v>-0.87</v>
      </c>
      <c r="AE247">
        <v>1</v>
      </c>
      <c r="AF247">
        <f t="shared" si="74"/>
        <v>-1.06</v>
      </c>
      <c r="AG247">
        <v>1</v>
      </c>
      <c r="AH247" t="str">
        <f t="shared" si="75"/>
        <v>Yes</v>
      </c>
    </row>
    <row r="248" spans="1:34">
      <c r="A248">
        <v>247</v>
      </c>
      <c r="B248">
        <v>58</v>
      </c>
      <c r="C248" t="str">
        <f t="shared" si="57"/>
        <v>57-66</v>
      </c>
      <c r="D248">
        <f t="shared" si="58"/>
        <v>0.64</v>
      </c>
      <c r="E248">
        <v>1</v>
      </c>
      <c r="F248">
        <f t="shared" si="59"/>
        <v>0.38</v>
      </c>
      <c r="G248">
        <v>3</v>
      </c>
      <c r="H248">
        <f t="shared" si="60"/>
        <v>1.1599999999999999</v>
      </c>
      <c r="I248">
        <v>100</v>
      </c>
      <c r="J248" s="2" t="str">
        <f t="shared" si="61"/>
        <v>94-120</v>
      </c>
      <c r="K248" s="2">
        <f t="shared" si="62"/>
        <v>-0.32</v>
      </c>
      <c r="L248">
        <v>234</v>
      </c>
      <c r="M248" t="str">
        <f t="shared" si="63"/>
        <v>201-250</v>
      </c>
      <c r="N248">
        <f t="shared" si="64"/>
        <v>0.17</v>
      </c>
      <c r="O248">
        <v>0</v>
      </c>
      <c r="P248">
        <f t="shared" si="65"/>
        <v>-0.02</v>
      </c>
      <c r="Q248">
        <v>0</v>
      </c>
      <c r="R248">
        <f t="shared" si="66"/>
        <v>-0.36</v>
      </c>
      <c r="S248">
        <v>156</v>
      </c>
      <c r="T248" t="str">
        <f t="shared" si="67"/>
        <v>131-160</v>
      </c>
      <c r="U248">
        <f t="shared" si="68"/>
        <v>0.2</v>
      </c>
      <c r="V248">
        <v>0</v>
      </c>
      <c r="W248">
        <f t="shared" si="69"/>
        <v>-0.64</v>
      </c>
      <c r="X248">
        <v>0.1</v>
      </c>
      <c r="Y248" t="str">
        <f t="shared" si="70"/>
        <v>0.1-1.5</v>
      </c>
      <c r="Z248">
        <f t="shared" si="71"/>
        <v>-0.48</v>
      </c>
      <c r="AA248">
        <v>0</v>
      </c>
      <c r="AB248">
        <f t="shared" si="72"/>
        <v>-0.91</v>
      </c>
      <c r="AC248">
        <v>1</v>
      </c>
      <c r="AD248">
        <f t="shared" si="73"/>
        <v>0.91</v>
      </c>
      <c r="AE248">
        <v>3</v>
      </c>
      <c r="AF248">
        <f t="shared" si="74"/>
        <v>1.32</v>
      </c>
      <c r="AG248">
        <v>1</v>
      </c>
      <c r="AH248" t="str">
        <f t="shared" si="75"/>
        <v>Yes</v>
      </c>
    </row>
    <row r="249" spans="1:34">
      <c r="A249">
        <v>248</v>
      </c>
      <c r="B249">
        <v>47</v>
      </c>
      <c r="C249" t="str">
        <f t="shared" si="57"/>
        <v>47-56</v>
      </c>
      <c r="D249">
        <f t="shared" si="58"/>
        <v>-0.28000000000000003</v>
      </c>
      <c r="E249">
        <v>1</v>
      </c>
      <c r="F249">
        <f t="shared" si="59"/>
        <v>0.38</v>
      </c>
      <c r="G249">
        <v>3</v>
      </c>
      <c r="H249">
        <f t="shared" si="60"/>
        <v>1.1599999999999999</v>
      </c>
      <c r="I249">
        <v>110</v>
      </c>
      <c r="J249" s="2" t="str">
        <f t="shared" si="61"/>
        <v>94-120</v>
      </c>
      <c r="K249" s="2">
        <f t="shared" si="62"/>
        <v>-0.32</v>
      </c>
      <c r="L249">
        <v>275</v>
      </c>
      <c r="M249" t="str">
        <f t="shared" si="63"/>
        <v>251-300</v>
      </c>
      <c r="N249">
        <f t="shared" si="64"/>
        <v>0.48</v>
      </c>
      <c r="O249">
        <v>0</v>
      </c>
      <c r="P249">
        <f t="shared" si="65"/>
        <v>-0.02</v>
      </c>
      <c r="Q249">
        <v>2</v>
      </c>
      <c r="R249">
        <f t="shared" si="66"/>
        <v>0.33</v>
      </c>
      <c r="S249">
        <v>118</v>
      </c>
      <c r="T249" t="str">
        <f t="shared" si="67"/>
        <v>101-130</v>
      </c>
      <c r="U249">
        <f t="shared" si="68"/>
        <v>1.1499999999999999</v>
      </c>
      <c r="V249">
        <v>1</v>
      </c>
      <c r="W249">
        <f t="shared" si="69"/>
        <v>1.36</v>
      </c>
      <c r="X249">
        <v>1</v>
      </c>
      <c r="Y249" t="str">
        <f t="shared" si="70"/>
        <v>0.1-1.5</v>
      </c>
      <c r="Z249">
        <f t="shared" si="71"/>
        <v>-0.48</v>
      </c>
      <c r="AA249">
        <v>1</v>
      </c>
      <c r="AB249">
        <f t="shared" si="72"/>
        <v>0.78</v>
      </c>
      <c r="AC249">
        <v>1</v>
      </c>
      <c r="AD249">
        <f t="shared" si="73"/>
        <v>0.91</v>
      </c>
      <c r="AE249">
        <v>1</v>
      </c>
      <c r="AF249">
        <f t="shared" si="74"/>
        <v>-1.06</v>
      </c>
      <c r="AG249">
        <v>1</v>
      </c>
      <c r="AH249" t="str">
        <f t="shared" si="75"/>
        <v>Yes</v>
      </c>
    </row>
    <row r="250" spans="1:34">
      <c r="A250">
        <v>249</v>
      </c>
      <c r="B250">
        <v>52</v>
      </c>
      <c r="C250" t="str">
        <f t="shared" si="57"/>
        <v>47-56</v>
      </c>
      <c r="D250">
        <f t="shared" si="58"/>
        <v>-0.28000000000000003</v>
      </c>
      <c r="E250">
        <v>1</v>
      </c>
      <c r="F250">
        <f t="shared" si="59"/>
        <v>0.38</v>
      </c>
      <c r="G250">
        <v>3</v>
      </c>
      <c r="H250">
        <f t="shared" si="60"/>
        <v>1.1599999999999999</v>
      </c>
      <c r="I250">
        <v>125</v>
      </c>
      <c r="J250" s="2" t="str">
        <f t="shared" si="61"/>
        <v>121-150</v>
      </c>
      <c r="K250" s="2">
        <f t="shared" si="62"/>
        <v>0.04</v>
      </c>
      <c r="L250">
        <v>212</v>
      </c>
      <c r="M250" t="str">
        <f t="shared" si="63"/>
        <v>201-250</v>
      </c>
      <c r="N250">
        <f t="shared" si="64"/>
        <v>0.17</v>
      </c>
      <c r="O250">
        <v>0</v>
      </c>
      <c r="P250">
        <f t="shared" si="65"/>
        <v>-0.02</v>
      </c>
      <c r="Q250">
        <v>0</v>
      </c>
      <c r="R250">
        <f t="shared" si="66"/>
        <v>-0.36</v>
      </c>
      <c r="S250">
        <v>168</v>
      </c>
      <c r="T250" t="str">
        <f t="shared" si="67"/>
        <v>161-190</v>
      </c>
      <c r="U250">
        <f t="shared" si="68"/>
        <v>-1.01</v>
      </c>
      <c r="V250">
        <v>0</v>
      </c>
      <c r="W250">
        <f t="shared" si="69"/>
        <v>-0.64</v>
      </c>
      <c r="X250">
        <v>1</v>
      </c>
      <c r="Y250" t="str">
        <f t="shared" si="70"/>
        <v>0.1-1.5</v>
      </c>
      <c r="Z250">
        <f t="shared" si="71"/>
        <v>-0.48</v>
      </c>
      <c r="AA250">
        <v>0</v>
      </c>
      <c r="AB250">
        <f t="shared" si="72"/>
        <v>-0.91</v>
      </c>
      <c r="AC250">
        <v>2</v>
      </c>
      <c r="AD250">
        <f t="shared" si="73"/>
        <v>1.65</v>
      </c>
      <c r="AE250">
        <v>3</v>
      </c>
      <c r="AF250">
        <f t="shared" si="74"/>
        <v>1.32</v>
      </c>
      <c r="AG250">
        <v>1</v>
      </c>
      <c r="AH250" t="str">
        <f t="shared" si="75"/>
        <v>Yes</v>
      </c>
    </row>
    <row r="251" spans="1:34">
      <c r="A251">
        <v>250</v>
      </c>
      <c r="B251">
        <v>62</v>
      </c>
      <c r="C251" t="str">
        <f t="shared" si="57"/>
        <v>57-66</v>
      </c>
      <c r="D251">
        <f t="shared" si="58"/>
        <v>0.64</v>
      </c>
      <c r="E251">
        <v>1</v>
      </c>
      <c r="F251">
        <f t="shared" si="59"/>
        <v>0.38</v>
      </c>
      <c r="G251">
        <v>1</v>
      </c>
      <c r="H251">
        <f t="shared" si="60"/>
        <v>-1.35</v>
      </c>
      <c r="I251">
        <v>128</v>
      </c>
      <c r="J251" s="2" t="str">
        <f t="shared" si="61"/>
        <v>121-150</v>
      </c>
      <c r="K251" s="2">
        <f t="shared" si="62"/>
        <v>0.04</v>
      </c>
      <c r="L251">
        <v>208</v>
      </c>
      <c r="M251" t="str">
        <f t="shared" si="63"/>
        <v>201-250</v>
      </c>
      <c r="N251">
        <f t="shared" si="64"/>
        <v>0.17</v>
      </c>
      <c r="O251">
        <v>1</v>
      </c>
      <c r="P251">
        <f t="shared" si="65"/>
        <v>0.12</v>
      </c>
      <c r="Q251">
        <v>2</v>
      </c>
      <c r="R251">
        <f t="shared" si="66"/>
        <v>0.33</v>
      </c>
      <c r="S251">
        <v>140</v>
      </c>
      <c r="T251" t="str">
        <f t="shared" si="67"/>
        <v>131-160</v>
      </c>
      <c r="U251">
        <f t="shared" si="68"/>
        <v>0.2</v>
      </c>
      <c r="V251">
        <v>0</v>
      </c>
      <c r="W251">
        <f t="shared" si="69"/>
        <v>-0.64</v>
      </c>
      <c r="X251">
        <v>0</v>
      </c>
      <c r="Y251" t="str">
        <f t="shared" si="70"/>
        <v>0.1-1.5</v>
      </c>
      <c r="Z251">
        <f t="shared" si="71"/>
        <v>-0.48</v>
      </c>
      <c r="AA251">
        <v>0</v>
      </c>
      <c r="AB251">
        <f t="shared" si="72"/>
        <v>-0.91</v>
      </c>
      <c r="AC251">
        <v>0</v>
      </c>
      <c r="AD251">
        <f t="shared" si="73"/>
        <v>-0.87</v>
      </c>
      <c r="AE251">
        <v>1</v>
      </c>
      <c r="AF251">
        <f t="shared" si="74"/>
        <v>-1.06</v>
      </c>
      <c r="AG251">
        <v>0</v>
      </c>
      <c r="AH251" t="str">
        <f t="shared" si="75"/>
        <v>No</v>
      </c>
    </row>
    <row r="252" spans="1:34">
      <c r="A252">
        <v>251</v>
      </c>
      <c r="B252">
        <v>57</v>
      </c>
      <c r="C252" t="str">
        <f t="shared" si="57"/>
        <v>57-66</v>
      </c>
      <c r="D252">
        <f t="shared" si="58"/>
        <v>0.64</v>
      </c>
      <c r="E252">
        <v>1</v>
      </c>
      <c r="F252">
        <f t="shared" si="59"/>
        <v>0.38</v>
      </c>
      <c r="G252">
        <v>3</v>
      </c>
      <c r="H252">
        <f t="shared" si="60"/>
        <v>1.1599999999999999</v>
      </c>
      <c r="I252">
        <v>110</v>
      </c>
      <c r="J252" s="2" t="str">
        <f t="shared" si="61"/>
        <v>94-120</v>
      </c>
      <c r="K252" s="2">
        <f t="shared" si="62"/>
        <v>-0.32</v>
      </c>
      <c r="L252">
        <v>201</v>
      </c>
      <c r="M252" t="str">
        <f t="shared" si="63"/>
        <v>201-250</v>
      </c>
      <c r="N252">
        <f t="shared" si="64"/>
        <v>0.17</v>
      </c>
      <c r="O252">
        <v>0</v>
      </c>
      <c r="P252">
        <f t="shared" si="65"/>
        <v>-0.02</v>
      </c>
      <c r="Q252">
        <v>0</v>
      </c>
      <c r="R252">
        <f t="shared" si="66"/>
        <v>-0.36</v>
      </c>
      <c r="S252">
        <v>126</v>
      </c>
      <c r="T252" t="str">
        <f t="shared" si="67"/>
        <v>101-130</v>
      </c>
      <c r="U252">
        <f t="shared" si="68"/>
        <v>1.1499999999999999</v>
      </c>
      <c r="V252">
        <v>1</v>
      </c>
      <c r="W252">
        <f t="shared" si="69"/>
        <v>1.36</v>
      </c>
      <c r="X252">
        <v>1.5</v>
      </c>
      <c r="Y252" t="str">
        <f t="shared" si="70"/>
        <v>0.1-1.5</v>
      </c>
      <c r="Z252">
        <f t="shared" si="71"/>
        <v>-0.48</v>
      </c>
      <c r="AA252">
        <v>1</v>
      </c>
      <c r="AB252">
        <f t="shared" si="72"/>
        <v>0.78</v>
      </c>
      <c r="AC252">
        <v>0</v>
      </c>
      <c r="AD252">
        <f t="shared" si="73"/>
        <v>-0.87</v>
      </c>
      <c r="AE252">
        <v>2</v>
      </c>
      <c r="AF252">
        <f t="shared" si="74"/>
        <v>0.86</v>
      </c>
      <c r="AG252">
        <v>0</v>
      </c>
      <c r="AH252" t="str">
        <f t="shared" si="75"/>
        <v>No</v>
      </c>
    </row>
    <row r="253" spans="1:34">
      <c r="A253">
        <v>252</v>
      </c>
      <c r="B253">
        <v>58</v>
      </c>
      <c r="C253" t="str">
        <f t="shared" si="57"/>
        <v>57-66</v>
      </c>
      <c r="D253">
        <f t="shared" si="58"/>
        <v>0.64</v>
      </c>
      <c r="E253">
        <v>1</v>
      </c>
      <c r="F253">
        <f t="shared" si="59"/>
        <v>0.38</v>
      </c>
      <c r="G253">
        <v>3</v>
      </c>
      <c r="H253">
        <f t="shared" si="60"/>
        <v>1.1599999999999999</v>
      </c>
      <c r="I253">
        <v>146</v>
      </c>
      <c r="J253" s="2" t="str">
        <f t="shared" si="61"/>
        <v>121-150</v>
      </c>
      <c r="K253" s="2">
        <f t="shared" si="62"/>
        <v>0.04</v>
      </c>
      <c r="L253">
        <v>218</v>
      </c>
      <c r="M253" t="str">
        <f t="shared" si="63"/>
        <v>201-250</v>
      </c>
      <c r="N253">
        <f t="shared" si="64"/>
        <v>0.17</v>
      </c>
      <c r="O253">
        <v>0</v>
      </c>
      <c r="P253">
        <f t="shared" si="65"/>
        <v>-0.02</v>
      </c>
      <c r="Q253">
        <v>0</v>
      </c>
      <c r="R253">
        <f t="shared" si="66"/>
        <v>-0.36</v>
      </c>
      <c r="S253">
        <v>105</v>
      </c>
      <c r="T253" t="str">
        <f t="shared" si="67"/>
        <v>101-130</v>
      </c>
      <c r="U253">
        <f t="shared" si="68"/>
        <v>1.1499999999999999</v>
      </c>
      <c r="V253">
        <v>0</v>
      </c>
      <c r="W253">
        <f t="shared" si="69"/>
        <v>-0.64</v>
      </c>
      <c r="X253">
        <v>2</v>
      </c>
      <c r="Y253" t="str">
        <f t="shared" si="70"/>
        <v>1.6-2.8</v>
      </c>
      <c r="Z253">
        <f t="shared" si="71"/>
        <v>0.99</v>
      </c>
      <c r="AA253">
        <v>1</v>
      </c>
      <c r="AB253">
        <f t="shared" si="72"/>
        <v>0.78</v>
      </c>
      <c r="AC253">
        <v>1</v>
      </c>
      <c r="AD253">
        <f t="shared" si="73"/>
        <v>0.91</v>
      </c>
      <c r="AE253">
        <v>3</v>
      </c>
      <c r="AF253">
        <f t="shared" si="74"/>
        <v>1.32</v>
      </c>
      <c r="AG253">
        <v>1</v>
      </c>
      <c r="AH253" t="str">
        <f t="shared" si="75"/>
        <v>Yes</v>
      </c>
    </row>
    <row r="254" spans="1:34">
      <c r="A254">
        <v>253</v>
      </c>
      <c r="B254">
        <v>64</v>
      </c>
      <c r="C254" t="str">
        <f t="shared" si="57"/>
        <v>57-66</v>
      </c>
      <c r="D254">
        <f t="shared" si="58"/>
        <v>0.64</v>
      </c>
      <c r="E254">
        <v>1</v>
      </c>
      <c r="F254">
        <f t="shared" si="59"/>
        <v>0.38</v>
      </c>
      <c r="G254">
        <v>3</v>
      </c>
      <c r="H254">
        <f t="shared" si="60"/>
        <v>1.1599999999999999</v>
      </c>
      <c r="I254">
        <v>128</v>
      </c>
      <c r="J254" s="2" t="str">
        <f t="shared" si="61"/>
        <v>121-150</v>
      </c>
      <c r="K254" s="2">
        <f t="shared" si="62"/>
        <v>0.04</v>
      </c>
      <c r="L254">
        <v>263</v>
      </c>
      <c r="M254" t="str">
        <f t="shared" si="63"/>
        <v>251-300</v>
      </c>
      <c r="N254">
        <f t="shared" si="64"/>
        <v>0.48</v>
      </c>
      <c r="O254">
        <v>0</v>
      </c>
      <c r="P254">
        <f t="shared" si="65"/>
        <v>-0.02</v>
      </c>
      <c r="Q254">
        <v>0</v>
      </c>
      <c r="R254">
        <f t="shared" si="66"/>
        <v>-0.36</v>
      </c>
      <c r="S254">
        <v>105</v>
      </c>
      <c r="T254" t="str">
        <f t="shared" si="67"/>
        <v>101-130</v>
      </c>
      <c r="U254">
        <f t="shared" si="68"/>
        <v>1.1499999999999999</v>
      </c>
      <c r="V254">
        <v>1</v>
      </c>
      <c r="W254">
        <f t="shared" si="69"/>
        <v>1.36</v>
      </c>
      <c r="X254">
        <v>0.2</v>
      </c>
      <c r="Y254" t="str">
        <f t="shared" si="70"/>
        <v>0.1-1.5</v>
      </c>
      <c r="Z254">
        <f t="shared" si="71"/>
        <v>-0.48</v>
      </c>
      <c r="AA254">
        <v>1</v>
      </c>
      <c r="AB254">
        <f t="shared" si="72"/>
        <v>0.78</v>
      </c>
      <c r="AC254">
        <v>1</v>
      </c>
      <c r="AD254">
        <f t="shared" si="73"/>
        <v>0.91</v>
      </c>
      <c r="AE254">
        <v>3</v>
      </c>
      <c r="AF254">
        <f t="shared" si="74"/>
        <v>1.32</v>
      </c>
      <c r="AG254">
        <v>0</v>
      </c>
      <c r="AH254" t="str">
        <f t="shared" si="75"/>
        <v>No</v>
      </c>
    </row>
    <row r="255" spans="1:34">
      <c r="A255">
        <v>254</v>
      </c>
      <c r="B255">
        <v>51</v>
      </c>
      <c r="C255" t="str">
        <f t="shared" si="57"/>
        <v>47-56</v>
      </c>
      <c r="D255">
        <f t="shared" si="58"/>
        <v>-0.28000000000000003</v>
      </c>
      <c r="E255">
        <v>0</v>
      </c>
      <c r="F255">
        <f t="shared" si="59"/>
        <v>-0.89</v>
      </c>
      <c r="G255">
        <v>2</v>
      </c>
      <c r="H255">
        <f t="shared" si="60"/>
        <v>-1.1599999999999999</v>
      </c>
      <c r="I255">
        <v>120</v>
      </c>
      <c r="J255" s="2" t="str">
        <f t="shared" si="61"/>
        <v>94-120</v>
      </c>
      <c r="K255" s="2">
        <f t="shared" si="62"/>
        <v>-0.32</v>
      </c>
      <c r="L255">
        <v>295</v>
      </c>
      <c r="M255" t="str">
        <f t="shared" si="63"/>
        <v>251-300</v>
      </c>
      <c r="N255">
        <f t="shared" si="64"/>
        <v>0.48</v>
      </c>
      <c r="O255">
        <v>0</v>
      </c>
      <c r="P255">
        <f t="shared" si="65"/>
        <v>-0.02</v>
      </c>
      <c r="Q255">
        <v>2</v>
      </c>
      <c r="R255">
        <f t="shared" si="66"/>
        <v>0.33</v>
      </c>
      <c r="S255">
        <v>157</v>
      </c>
      <c r="T255" t="str">
        <f t="shared" si="67"/>
        <v>131-160</v>
      </c>
      <c r="U255">
        <f t="shared" si="68"/>
        <v>0.2</v>
      </c>
      <c r="V255">
        <v>0</v>
      </c>
      <c r="W255">
        <f t="shared" si="69"/>
        <v>-0.64</v>
      </c>
      <c r="X255">
        <v>0.6</v>
      </c>
      <c r="Y255" t="str">
        <f t="shared" si="70"/>
        <v>0.1-1.5</v>
      </c>
      <c r="Z255">
        <f t="shared" si="71"/>
        <v>-0.48</v>
      </c>
      <c r="AA255">
        <v>0</v>
      </c>
      <c r="AB255">
        <f t="shared" si="72"/>
        <v>-0.91</v>
      </c>
      <c r="AC255">
        <v>0</v>
      </c>
      <c r="AD255">
        <f t="shared" si="73"/>
        <v>-0.87</v>
      </c>
      <c r="AE255">
        <v>1</v>
      </c>
      <c r="AF255">
        <f t="shared" si="74"/>
        <v>-1.06</v>
      </c>
      <c r="AG255">
        <v>0</v>
      </c>
      <c r="AH255" t="str">
        <f t="shared" si="75"/>
        <v>No</v>
      </c>
    </row>
    <row r="256" spans="1:34">
      <c r="A256">
        <v>255</v>
      </c>
      <c r="B256">
        <v>43</v>
      </c>
      <c r="C256" t="str">
        <f t="shared" si="57"/>
        <v>37-46</v>
      </c>
      <c r="D256">
        <f t="shared" si="58"/>
        <v>-0.83</v>
      </c>
      <c r="E256">
        <v>1</v>
      </c>
      <c r="F256">
        <f t="shared" si="59"/>
        <v>0.38</v>
      </c>
      <c r="G256">
        <v>3</v>
      </c>
      <c r="H256">
        <f t="shared" si="60"/>
        <v>1.1599999999999999</v>
      </c>
      <c r="I256">
        <v>115</v>
      </c>
      <c r="J256" s="2" t="str">
        <f t="shared" si="61"/>
        <v>94-120</v>
      </c>
      <c r="K256" s="2">
        <f t="shared" si="62"/>
        <v>-0.32</v>
      </c>
      <c r="L256">
        <v>303</v>
      </c>
      <c r="M256" t="str">
        <f t="shared" si="63"/>
        <v>351-400</v>
      </c>
      <c r="N256">
        <f t="shared" si="64"/>
        <v>0.17</v>
      </c>
      <c r="O256">
        <v>0</v>
      </c>
      <c r="P256">
        <f t="shared" si="65"/>
        <v>-0.02</v>
      </c>
      <c r="Q256">
        <v>0</v>
      </c>
      <c r="R256">
        <f t="shared" si="66"/>
        <v>-0.36</v>
      </c>
      <c r="S256">
        <v>181</v>
      </c>
      <c r="T256" t="str">
        <f t="shared" si="67"/>
        <v>161-190</v>
      </c>
      <c r="U256">
        <f t="shared" si="68"/>
        <v>-1.01</v>
      </c>
      <c r="V256">
        <v>0</v>
      </c>
      <c r="W256">
        <f t="shared" si="69"/>
        <v>-0.64</v>
      </c>
      <c r="X256">
        <v>1.2</v>
      </c>
      <c r="Y256" t="str">
        <f t="shared" si="70"/>
        <v>0.1-1.5</v>
      </c>
      <c r="Z256">
        <f t="shared" si="71"/>
        <v>-0.48</v>
      </c>
      <c r="AA256">
        <v>1</v>
      </c>
      <c r="AB256">
        <f t="shared" si="72"/>
        <v>0.78</v>
      </c>
      <c r="AC256">
        <v>0</v>
      </c>
      <c r="AD256">
        <f t="shared" si="73"/>
        <v>-0.87</v>
      </c>
      <c r="AE256">
        <v>1</v>
      </c>
      <c r="AF256">
        <f t="shared" si="74"/>
        <v>-1.06</v>
      </c>
      <c r="AG256">
        <v>0</v>
      </c>
      <c r="AH256" t="str">
        <f t="shared" si="75"/>
        <v>No</v>
      </c>
    </row>
    <row r="257" spans="1:34">
      <c r="A257">
        <v>256</v>
      </c>
      <c r="B257">
        <v>42</v>
      </c>
      <c r="C257" t="str">
        <f t="shared" si="57"/>
        <v>37-46</v>
      </c>
      <c r="D257">
        <f t="shared" si="58"/>
        <v>-0.83</v>
      </c>
      <c r="E257">
        <v>0</v>
      </c>
      <c r="F257">
        <f t="shared" si="59"/>
        <v>-0.89</v>
      </c>
      <c r="G257">
        <v>2</v>
      </c>
      <c r="H257">
        <f t="shared" si="60"/>
        <v>-1.1599999999999999</v>
      </c>
      <c r="I257">
        <v>120</v>
      </c>
      <c r="J257" s="2" t="str">
        <f t="shared" si="61"/>
        <v>94-120</v>
      </c>
      <c r="K257" s="2">
        <f t="shared" si="62"/>
        <v>-0.32</v>
      </c>
      <c r="L257">
        <v>209</v>
      </c>
      <c r="M257" t="str">
        <f t="shared" si="63"/>
        <v>201-250</v>
      </c>
      <c r="N257">
        <f t="shared" si="64"/>
        <v>0.17</v>
      </c>
      <c r="O257">
        <v>0</v>
      </c>
      <c r="P257">
        <f t="shared" si="65"/>
        <v>-0.02</v>
      </c>
      <c r="Q257">
        <v>0</v>
      </c>
      <c r="R257">
        <f t="shared" si="66"/>
        <v>-0.36</v>
      </c>
      <c r="S257">
        <v>173</v>
      </c>
      <c r="T257" t="str">
        <f t="shared" si="67"/>
        <v>161-190</v>
      </c>
      <c r="U257">
        <f t="shared" si="68"/>
        <v>-1.01</v>
      </c>
      <c r="V257">
        <v>0</v>
      </c>
      <c r="W257">
        <f t="shared" si="69"/>
        <v>-0.64</v>
      </c>
      <c r="X257">
        <v>0</v>
      </c>
      <c r="Y257" t="str">
        <f t="shared" si="70"/>
        <v>0.1-1.5</v>
      </c>
      <c r="Z257">
        <f t="shared" si="71"/>
        <v>-0.48</v>
      </c>
      <c r="AA257">
        <v>1</v>
      </c>
      <c r="AB257">
        <f t="shared" si="72"/>
        <v>0.78</v>
      </c>
      <c r="AC257">
        <v>0</v>
      </c>
      <c r="AD257">
        <f t="shared" si="73"/>
        <v>-0.87</v>
      </c>
      <c r="AE257">
        <v>1</v>
      </c>
      <c r="AF257">
        <f t="shared" si="74"/>
        <v>-1.06</v>
      </c>
      <c r="AG257">
        <v>0</v>
      </c>
      <c r="AH257" t="str">
        <f t="shared" si="75"/>
        <v>No</v>
      </c>
    </row>
    <row r="258" spans="1:34">
      <c r="A258">
        <v>257</v>
      </c>
      <c r="B258">
        <v>67</v>
      </c>
      <c r="C258" t="str">
        <f t="shared" si="57"/>
        <v>66+</v>
      </c>
      <c r="D258">
        <f t="shared" si="58"/>
        <v>0.17</v>
      </c>
      <c r="E258">
        <v>0</v>
      </c>
      <c r="F258">
        <f t="shared" si="59"/>
        <v>-0.89</v>
      </c>
      <c r="G258">
        <v>3</v>
      </c>
      <c r="H258">
        <f t="shared" si="60"/>
        <v>1.1599999999999999</v>
      </c>
      <c r="I258">
        <v>106</v>
      </c>
      <c r="J258" s="2" t="str">
        <f t="shared" si="61"/>
        <v>94-120</v>
      </c>
      <c r="K258" s="2">
        <f t="shared" si="62"/>
        <v>-0.32</v>
      </c>
      <c r="L258">
        <v>223</v>
      </c>
      <c r="M258" t="str">
        <f t="shared" si="63"/>
        <v>201-250</v>
      </c>
      <c r="N258">
        <f t="shared" si="64"/>
        <v>0.17</v>
      </c>
      <c r="O258">
        <v>0</v>
      </c>
      <c r="P258">
        <f t="shared" si="65"/>
        <v>-0.02</v>
      </c>
      <c r="Q258">
        <v>0</v>
      </c>
      <c r="R258">
        <f t="shared" si="66"/>
        <v>-0.36</v>
      </c>
      <c r="S258">
        <v>142</v>
      </c>
      <c r="T258" t="str">
        <f t="shared" si="67"/>
        <v>131-160</v>
      </c>
      <c r="U258">
        <f t="shared" si="68"/>
        <v>0.2</v>
      </c>
      <c r="V258">
        <v>0</v>
      </c>
      <c r="W258">
        <f t="shared" si="69"/>
        <v>-0.64</v>
      </c>
      <c r="X258">
        <v>0.3</v>
      </c>
      <c r="Y258" t="str">
        <f t="shared" si="70"/>
        <v>0.1-1.5</v>
      </c>
      <c r="Z258">
        <f t="shared" si="71"/>
        <v>-0.48</v>
      </c>
      <c r="AA258">
        <v>0</v>
      </c>
      <c r="AB258">
        <f t="shared" si="72"/>
        <v>-0.91</v>
      </c>
      <c r="AC258">
        <v>2</v>
      </c>
      <c r="AD258">
        <f t="shared" si="73"/>
        <v>1.65</v>
      </c>
      <c r="AE258">
        <v>1</v>
      </c>
      <c r="AF258">
        <f t="shared" si="74"/>
        <v>-1.06</v>
      </c>
      <c r="AG258">
        <v>0</v>
      </c>
      <c r="AH258" t="str">
        <f t="shared" si="75"/>
        <v>No</v>
      </c>
    </row>
    <row r="259" spans="1:34">
      <c r="A259">
        <v>258</v>
      </c>
      <c r="B259">
        <v>76</v>
      </c>
      <c r="C259" t="str">
        <f t="shared" ref="C259:C304" si="76">IF(B259&lt;37,"27-36",IF(B259&lt;47,"37-46",IF(B259&lt;57,"47-56",IF(B259&lt;67,"57-66","66+"))))</f>
        <v>66+</v>
      </c>
      <c r="D259">
        <f t="shared" ref="D259:D304" si="77">IF(C259="27-36",-0.75,IF(C259="37-46",-0.83,IF(C259="47-56",-0.28,IF(C259="57-66",0.64,0.17))))</f>
        <v>0.17</v>
      </c>
      <c r="E259">
        <v>0</v>
      </c>
      <c r="F259">
        <f t="shared" ref="F259:F304" si="78">IF(E259=1,0.38,-0.89)</f>
        <v>-0.89</v>
      </c>
      <c r="G259">
        <v>2</v>
      </c>
      <c r="H259">
        <f t="shared" ref="H259:H304" si="79">IF(G259=0,-0.66,IF(G259=1,-1.35,IF(G259=2,-1.16,1.16)))</f>
        <v>-1.1599999999999999</v>
      </c>
      <c r="I259">
        <v>140</v>
      </c>
      <c r="J259" s="2" t="str">
        <f t="shared" ref="J259:J304" si="80">IF(I259&lt;=120,"94-120",IF(I259&lt;=150,"121-150",IF(I259&lt;180,"151-180","180+")))</f>
        <v>121-150</v>
      </c>
      <c r="K259" s="2">
        <f t="shared" ref="K259:K304" si="81">IF(J259="121-150",0.04,IF(J259="151-180",0.57,IF(J259="94-120",-0.32,1.55)))</f>
        <v>0.04</v>
      </c>
      <c r="L259">
        <v>197</v>
      </c>
      <c r="M259" t="str">
        <f t="shared" ref="M259:M304" si="82">IF(L259&lt;=200,"126-200",IF(L259&lt;=250,"201-250",IF(L259&lt;=300,"251-300",IF(L259&lt;=350,"351-400","400+"))))</f>
        <v>126-200</v>
      </c>
      <c r="N259">
        <f t="shared" ref="N259:N304" si="83">IF(M259="126-200",-0.16,IF(M259="201,250",-0.29,IF(M259="251-300",0.48,IF(M259="400+",-0.35,0.17))))</f>
        <v>-0.16</v>
      </c>
      <c r="O259">
        <v>0</v>
      </c>
      <c r="P259">
        <f t="shared" ref="P259:P304" si="84">IF(O259=1,0.12,-0.02)</f>
        <v>-0.02</v>
      </c>
      <c r="Q259">
        <v>1</v>
      </c>
      <c r="R259">
        <f t="shared" ref="R259:R304" si="85">IF(Q259=0,-0.36,IF(Q259=1,1.26,0.33))</f>
        <v>1.26</v>
      </c>
      <c r="S259">
        <v>116</v>
      </c>
      <c r="T259" t="str">
        <f t="shared" ref="T259:T304" si="86">IF(S259&lt;=100,"71-100",IF(S259&lt;=130,"101-130",IF(S259&lt;=160,"131-160",IF(S259&lt;=190,"161-190","190+"))))</f>
        <v>101-130</v>
      </c>
      <c r="U259">
        <f t="shared" ref="U259:U304" si="87">IF(T259="101-130",1.15,IF(T259="131-160",0.2,IF(T259="161-190",-1.01,IF(T259="190",-0.93,2.11))))</f>
        <v>1.1499999999999999</v>
      </c>
      <c r="V259">
        <v>0</v>
      </c>
      <c r="W259">
        <f t="shared" ref="W259:W304" si="88">IF(V259=0,-0.64,1.36)</f>
        <v>-0.64</v>
      </c>
      <c r="X259">
        <v>1.1000000000000001</v>
      </c>
      <c r="Y259" t="str">
        <f t="shared" ref="Y259:Y304" si="89">IF(X259&lt;=1.5,"0.1-1.5",IF(X259&lt;=2.8,"1.6-2.8",IF(X259&lt;=4,"2.9-4","4+")))</f>
        <v>0.1-1.5</v>
      </c>
      <c r="Z259">
        <f t="shared" ref="Z259:Z304" si="90">IF(Y259="1.6-2.8",0.99,IF(Y259="0.1-1.5",-0.48,IF(Y259="2.9-4",2.42,1.55)))</f>
        <v>-0.48</v>
      </c>
      <c r="AA259">
        <v>1</v>
      </c>
      <c r="AB259">
        <f t="shared" ref="AB259:AB304" si="91">IF(AA259=1,0.78,IF(AA259=0,-0.91,0.45))</f>
        <v>0.78</v>
      </c>
      <c r="AC259">
        <v>0</v>
      </c>
      <c r="AD259">
        <f t="shared" ref="AD259:AD304" si="92">IF(AC259=0,-0.87,IF(AC259=1,0.91,IF(AC259=2,1.65,1.9)))</f>
        <v>-0.87</v>
      </c>
      <c r="AE259">
        <v>1</v>
      </c>
      <c r="AF259">
        <f t="shared" ref="AF259:AF304" si="93">IF(AE259=2,0.86,IF(AE259=1,-1.06,1.32))</f>
        <v>-1.06</v>
      </c>
      <c r="AG259">
        <v>0</v>
      </c>
      <c r="AH259" t="str">
        <f t="shared" ref="AH259:AH304" si="94">IF(AG259=1,"Yes","No")</f>
        <v>No</v>
      </c>
    </row>
    <row r="260" spans="1:34">
      <c r="A260">
        <v>259</v>
      </c>
      <c r="B260">
        <v>70</v>
      </c>
      <c r="C260" t="str">
        <f t="shared" si="76"/>
        <v>66+</v>
      </c>
      <c r="D260">
        <f t="shared" si="77"/>
        <v>0.17</v>
      </c>
      <c r="E260">
        <v>1</v>
      </c>
      <c r="F260">
        <f t="shared" si="78"/>
        <v>0.38</v>
      </c>
      <c r="G260">
        <v>1</v>
      </c>
      <c r="H260">
        <f t="shared" si="79"/>
        <v>-1.35</v>
      </c>
      <c r="I260">
        <v>156</v>
      </c>
      <c r="J260" s="2" t="str">
        <f t="shared" si="80"/>
        <v>151-180</v>
      </c>
      <c r="K260" s="2">
        <f t="shared" si="81"/>
        <v>0.56999999999999995</v>
      </c>
      <c r="L260">
        <v>245</v>
      </c>
      <c r="M260" t="str">
        <f t="shared" si="82"/>
        <v>201-250</v>
      </c>
      <c r="N260">
        <f t="shared" si="83"/>
        <v>0.17</v>
      </c>
      <c r="O260">
        <v>0</v>
      </c>
      <c r="P260">
        <f t="shared" si="84"/>
        <v>-0.02</v>
      </c>
      <c r="Q260">
        <v>2</v>
      </c>
      <c r="R260">
        <f t="shared" si="85"/>
        <v>0.33</v>
      </c>
      <c r="S260">
        <v>143</v>
      </c>
      <c r="T260" t="str">
        <f t="shared" si="86"/>
        <v>131-160</v>
      </c>
      <c r="U260">
        <f t="shared" si="87"/>
        <v>0.2</v>
      </c>
      <c r="V260">
        <v>0</v>
      </c>
      <c r="W260">
        <f t="shared" si="88"/>
        <v>-0.64</v>
      </c>
      <c r="X260">
        <v>0</v>
      </c>
      <c r="Y260" t="str">
        <f t="shared" si="89"/>
        <v>0.1-1.5</v>
      </c>
      <c r="Z260">
        <f t="shared" si="90"/>
        <v>-0.48</v>
      </c>
      <c r="AA260">
        <v>0</v>
      </c>
      <c r="AB260">
        <f t="shared" si="91"/>
        <v>-0.91</v>
      </c>
      <c r="AC260">
        <v>0</v>
      </c>
      <c r="AD260">
        <f t="shared" si="92"/>
        <v>-0.87</v>
      </c>
      <c r="AE260">
        <v>1</v>
      </c>
      <c r="AF260">
        <f t="shared" si="93"/>
        <v>-1.06</v>
      </c>
      <c r="AG260">
        <v>0</v>
      </c>
      <c r="AH260" t="str">
        <f t="shared" si="94"/>
        <v>No</v>
      </c>
    </row>
    <row r="261" spans="1:34">
      <c r="A261">
        <v>260</v>
      </c>
      <c r="B261">
        <v>57</v>
      </c>
      <c r="C261" t="str">
        <f t="shared" si="76"/>
        <v>57-66</v>
      </c>
      <c r="D261">
        <f t="shared" si="77"/>
        <v>0.64</v>
      </c>
      <c r="E261">
        <v>1</v>
      </c>
      <c r="F261">
        <f t="shared" si="78"/>
        <v>0.38</v>
      </c>
      <c r="G261">
        <v>1</v>
      </c>
      <c r="H261">
        <f t="shared" si="79"/>
        <v>-1.35</v>
      </c>
      <c r="I261">
        <v>124</v>
      </c>
      <c r="J261" s="2" t="str">
        <f t="shared" si="80"/>
        <v>121-150</v>
      </c>
      <c r="K261" s="2">
        <f t="shared" si="81"/>
        <v>0.04</v>
      </c>
      <c r="L261">
        <v>261</v>
      </c>
      <c r="M261" t="str">
        <f t="shared" si="82"/>
        <v>251-300</v>
      </c>
      <c r="N261">
        <f t="shared" si="83"/>
        <v>0.48</v>
      </c>
      <c r="O261">
        <v>0</v>
      </c>
      <c r="P261">
        <f t="shared" si="84"/>
        <v>-0.02</v>
      </c>
      <c r="Q261">
        <v>0</v>
      </c>
      <c r="R261">
        <f t="shared" si="85"/>
        <v>-0.36</v>
      </c>
      <c r="S261">
        <v>141</v>
      </c>
      <c r="T261" t="str">
        <f t="shared" si="86"/>
        <v>131-160</v>
      </c>
      <c r="U261">
        <f t="shared" si="87"/>
        <v>0.2</v>
      </c>
      <c r="V261">
        <v>0</v>
      </c>
      <c r="W261">
        <f t="shared" si="88"/>
        <v>-0.64</v>
      </c>
      <c r="X261">
        <v>0.3</v>
      </c>
      <c r="Y261" t="str">
        <f t="shared" si="89"/>
        <v>0.1-1.5</v>
      </c>
      <c r="Z261">
        <f t="shared" si="90"/>
        <v>-0.48</v>
      </c>
      <c r="AA261">
        <v>0</v>
      </c>
      <c r="AB261">
        <f t="shared" si="91"/>
        <v>-0.91</v>
      </c>
      <c r="AC261">
        <v>0</v>
      </c>
      <c r="AD261">
        <f t="shared" si="92"/>
        <v>-0.87</v>
      </c>
      <c r="AE261">
        <v>3</v>
      </c>
      <c r="AF261">
        <f t="shared" si="93"/>
        <v>1.32</v>
      </c>
      <c r="AG261">
        <v>1</v>
      </c>
      <c r="AH261" t="str">
        <f t="shared" si="94"/>
        <v>Yes</v>
      </c>
    </row>
    <row r="262" spans="1:34">
      <c r="A262">
        <v>261</v>
      </c>
      <c r="B262">
        <v>44</v>
      </c>
      <c r="C262" t="str">
        <f t="shared" si="76"/>
        <v>37-46</v>
      </c>
      <c r="D262">
        <f t="shared" si="77"/>
        <v>-0.83</v>
      </c>
      <c r="E262">
        <v>0</v>
      </c>
      <c r="F262">
        <f t="shared" si="78"/>
        <v>-0.89</v>
      </c>
      <c r="G262">
        <v>2</v>
      </c>
      <c r="H262">
        <f t="shared" si="79"/>
        <v>-1.1599999999999999</v>
      </c>
      <c r="I262">
        <v>118</v>
      </c>
      <c r="J262" s="2" t="str">
        <f t="shared" si="80"/>
        <v>94-120</v>
      </c>
      <c r="K262" s="2">
        <f t="shared" si="81"/>
        <v>-0.32</v>
      </c>
      <c r="L262">
        <v>242</v>
      </c>
      <c r="M262" t="str">
        <f t="shared" si="82"/>
        <v>201-250</v>
      </c>
      <c r="N262">
        <f t="shared" si="83"/>
        <v>0.17</v>
      </c>
      <c r="O262">
        <v>0</v>
      </c>
      <c r="P262">
        <f t="shared" si="84"/>
        <v>-0.02</v>
      </c>
      <c r="Q262">
        <v>0</v>
      </c>
      <c r="R262">
        <f t="shared" si="85"/>
        <v>-0.36</v>
      </c>
      <c r="S262">
        <v>149</v>
      </c>
      <c r="T262" t="str">
        <f t="shared" si="86"/>
        <v>131-160</v>
      </c>
      <c r="U262">
        <f t="shared" si="87"/>
        <v>0.2</v>
      </c>
      <c r="V262">
        <v>0</v>
      </c>
      <c r="W262">
        <f t="shared" si="88"/>
        <v>-0.64</v>
      </c>
      <c r="X262">
        <v>0.3</v>
      </c>
      <c r="Y262" t="str">
        <f t="shared" si="89"/>
        <v>0.1-1.5</v>
      </c>
      <c r="Z262">
        <f t="shared" si="90"/>
        <v>-0.48</v>
      </c>
      <c r="AA262">
        <v>1</v>
      </c>
      <c r="AB262">
        <f t="shared" si="91"/>
        <v>0.78</v>
      </c>
      <c r="AC262">
        <v>1</v>
      </c>
      <c r="AD262">
        <f t="shared" si="92"/>
        <v>0.91</v>
      </c>
      <c r="AE262">
        <v>1</v>
      </c>
      <c r="AF262">
        <f t="shared" si="93"/>
        <v>-1.06</v>
      </c>
      <c r="AG262">
        <v>0</v>
      </c>
      <c r="AH262" t="str">
        <f t="shared" si="94"/>
        <v>No</v>
      </c>
    </row>
    <row r="263" spans="1:34">
      <c r="A263">
        <v>262</v>
      </c>
      <c r="B263">
        <v>58</v>
      </c>
      <c r="C263" t="str">
        <f t="shared" si="76"/>
        <v>57-66</v>
      </c>
      <c r="D263">
        <f t="shared" si="77"/>
        <v>0.64</v>
      </c>
      <c r="E263">
        <v>0</v>
      </c>
      <c r="F263">
        <f t="shared" si="78"/>
        <v>-0.89</v>
      </c>
      <c r="G263">
        <v>1</v>
      </c>
      <c r="H263">
        <f t="shared" si="79"/>
        <v>-1.35</v>
      </c>
      <c r="I263">
        <v>136</v>
      </c>
      <c r="J263" s="2" t="str">
        <f t="shared" si="80"/>
        <v>121-150</v>
      </c>
      <c r="K263" s="2">
        <f t="shared" si="81"/>
        <v>0.04</v>
      </c>
      <c r="L263">
        <v>319</v>
      </c>
      <c r="M263" t="str">
        <f t="shared" si="82"/>
        <v>351-400</v>
      </c>
      <c r="N263">
        <f t="shared" si="83"/>
        <v>0.17</v>
      </c>
      <c r="O263">
        <v>1</v>
      </c>
      <c r="P263">
        <f t="shared" si="84"/>
        <v>0.12</v>
      </c>
      <c r="Q263">
        <v>2</v>
      </c>
      <c r="R263">
        <f t="shared" si="85"/>
        <v>0.33</v>
      </c>
      <c r="S263">
        <v>152</v>
      </c>
      <c r="T263" t="str">
        <f t="shared" si="86"/>
        <v>131-160</v>
      </c>
      <c r="U263">
        <f t="shared" si="87"/>
        <v>0.2</v>
      </c>
      <c r="V263">
        <v>0</v>
      </c>
      <c r="W263">
        <f t="shared" si="88"/>
        <v>-0.64</v>
      </c>
      <c r="X263">
        <v>0</v>
      </c>
      <c r="Y263" t="str">
        <f t="shared" si="89"/>
        <v>0.1-1.5</v>
      </c>
      <c r="Z263">
        <f t="shared" si="90"/>
        <v>-0.48</v>
      </c>
      <c r="AA263">
        <v>0</v>
      </c>
      <c r="AB263">
        <f t="shared" si="91"/>
        <v>-0.91</v>
      </c>
      <c r="AC263">
        <v>2</v>
      </c>
      <c r="AD263">
        <f t="shared" si="92"/>
        <v>1.65</v>
      </c>
      <c r="AE263">
        <v>1</v>
      </c>
      <c r="AF263">
        <f t="shared" si="93"/>
        <v>-1.06</v>
      </c>
      <c r="AG263">
        <v>1</v>
      </c>
      <c r="AH263" t="str">
        <f t="shared" si="94"/>
        <v>Yes</v>
      </c>
    </row>
    <row r="264" spans="1:34">
      <c r="A264">
        <v>263</v>
      </c>
      <c r="B264">
        <v>60</v>
      </c>
      <c r="C264" t="str">
        <f t="shared" si="76"/>
        <v>57-66</v>
      </c>
      <c r="D264">
        <f t="shared" si="77"/>
        <v>0.64</v>
      </c>
      <c r="E264">
        <v>0</v>
      </c>
      <c r="F264">
        <f t="shared" si="78"/>
        <v>-0.89</v>
      </c>
      <c r="G264">
        <v>0</v>
      </c>
      <c r="H264">
        <f t="shared" si="79"/>
        <v>-0.66</v>
      </c>
      <c r="I264">
        <v>150</v>
      </c>
      <c r="J264" s="2" t="str">
        <f t="shared" si="80"/>
        <v>121-150</v>
      </c>
      <c r="K264" s="2">
        <f t="shared" si="81"/>
        <v>0.04</v>
      </c>
      <c r="L264">
        <v>240</v>
      </c>
      <c r="M264" t="str">
        <f t="shared" si="82"/>
        <v>201-250</v>
      </c>
      <c r="N264">
        <f t="shared" si="83"/>
        <v>0.17</v>
      </c>
      <c r="O264">
        <v>0</v>
      </c>
      <c r="P264">
        <f t="shared" si="84"/>
        <v>-0.02</v>
      </c>
      <c r="Q264">
        <v>0</v>
      </c>
      <c r="R264">
        <f t="shared" si="85"/>
        <v>-0.36</v>
      </c>
      <c r="S264">
        <v>171</v>
      </c>
      <c r="T264" t="str">
        <f t="shared" si="86"/>
        <v>161-190</v>
      </c>
      <c r="U264">
        <f t="shared" si="87"/>
        <v>-1.01</v>
      </c>
      <c r="V264">
        <v>0</v>
      </c>
      <c r="W264">
        <f t="shared" si="88"/>
        <v>-0.64</v>
      </c>
      <c r="X264">
        <v>0.9</v>
      </c>
      <c r="Y264" t="str">
        <f t="shared" si="89"/>
        <v>0.1-1.5</v>
      </c>
      <c r="Z264">
        <f t="shared" si="90"/>
        <v>-0.48</v>
      </c>
      <c r="AA264">
        <v>0</v>
      </c>
      <c r="AB264">
        <f t="shared" si="91"/>
        <v>-0.91</v>
      </c>
      <c r="AC264">
        <v>0</v>
      </c>
      <c r="AD264">
        <f t="shared" si="92"/>
        <v>-0.87</v>
      </c>
      <c r="AE264">
        <v>1</v>
      </c>
      <c r="AF264">
        <f t="shared" si="93"/>
        <v>-1.06</v>
      </c>
      <c r="AG264">
        <v>0</v>
      </c>
      <c r="AH264" t="str">
        <f t="shared" si="94"/>
        <v>No</v>
      </c>
    </row>
    <row r="265" spans="1:34">
      <c r="A265">
        <v>264</v>
      </c>
      <c r="B265">
        <v>44</v>
      </c>
      <c r="C265" t="str">
        <f t="shared" si="76"/>
        <v>37-46</v>
      </c>
      <c r="D265">
        <f t="shared" si="77"/>
        <v>-0.83</v>
      </c>
      <c r="E265">
        <v>1</v>
      </c>
      <c r="F265">
        <f t="shared" si="78"/>
        <v>0.38</v>
      </c>
      <c r="G265">
        <v>2</v>
      </c>
      <c r="H265">
        <f t="shared" si="79"/>
        <v>-1.1599999999999999</v>
      </c>
      <c r="I265">
        <v>120</v>
      </c>
      <c r="J265" s="2" t="str">
        <f t="shared" si="80"/>
        <v>94-120</v>
      </c>
      <c r="K265" s="2">
        <f t="shared" si="81"/>
        <v>-0.32</v>
      </c>
      <c r="L265">
        <v>226</v>
      </c>
      <c r="M265" t="str">
        <f t="shared" si="82"/>
        <v>201-250</v>
      </c>
      <c r="N265">
        <f t="shared" si="83"/>
        <v>0.17</v>
      </c>
      <c r="O265">
        <v>0</v>
      </c>
      <c r="P265">
        <f t="shared" si="84"/>
        <v>-0.02</v>
      </c>
      <c r="Q265">
        <v>0</v>
      </c>
      <c r="R265">
        <f t="shared" si="85"/>
        <v>-0.36</v>
      </c>
      <c r="S265">
        <v>169</v>
      </c>
      <c r="T265" t="str">
        <f t="shared" si="86"/>
        <v>161-190</v>
      </c>
      <c r="U265">
        <f t="shared" si="87"/>
        <v>-1.01</v>
      </c>
      <c r="V265">
        <v>0</v>
      </c>
      <c r="W265">
        <f t="shared" si="88"/>
        <v>-0.64</v>
      </c>
      <c r="X265">
        <v>0</v>
      </c>
      <c r="Y265" t="str">
        <f t="shared" si="89"/>
        <v>0.1-1.5</v>
      </c>
      <c r="Z265">
        <f t="shared" si="90"/>
        <v>-0.48</v>
      </c>
      <c r="AA265">
        <v>0</v>
      </c>
      <c r="AB265">
        <f t="shared" si="91"/>
        <v>-0.91</v>
      </c>
      <c r="AC265">
        <v>0</v>
      </c>
      <c r="AD265">
        <f t="shared" si="92"/>
        <v>-0.87</v>
      </c>
      <c r="AE265">
        <v>1</v>
      </c>
      <c r="AF265">
        <f t="shared" si="93"/>
        <v>-1.06</v>
      </c>
      <c r="AG265">
        <v>0</v>
      </c>
      <c r="AH265" t="str">
        <f t="shared" si="94"/>
        <v>No</v>
      </c>
    </row>
    <row r="266" spans="1:34">
      <c r="A266">
        <v>265</v>
      </c>
      <c r="B266">
        <v>61</v>
      </c>
      <c r="C266" t="str">
        <f t="shared" si="76"/>
        <v>57-66</v>
      </c>
      <c r="D266">
        <f t="shared" si="77"/>
        <v>0.64</v>
      </c>
      <c r="E266">
        <v>1</v>
      </c>
      <c r="F266">
        <f t="shared" si="78"/>
        <v>0.38</v>
      </c>
      <c r="G266">
        <v>3</v>
      </c>
      <c r="H266">
        <f t="shared" si="79"/>
        <v>1.1599999999999999</v>
      </c>
      <c r="I266">
        <v>138</v>
      </c>
      <c r="J266" s="2" t="str">
        <f t="shared" si="80"/>
        <v>121-150</v>
      </c>
      <c r="K266" s="2">
        <f t="shared" si="81"/>
        <v>0.04</v>
      </c>
      <c r="L266">
        <v>166</v>
      </c>
      <c r="M266" t="str">
        <f t="shared" si="82"/>
        <v>126-200</v>
      </c>
      <c r="N266">
        <f t="shared" si="83"/>
        <v>-0.16</v>
      </c>
      <c r="O266">
        <v>0</v>
      </c>
      <c r="P266">
        <f t="shared" si="84"/>
        <v>-0.02</v>
      </c>
      <c r="Q266">
        <v>2</v>
      </c>
      <c r="R266">
        <f t="shared" si="85"/>
        <v>0.33</v>
      </c>
      <c r="S266">
        <v>125</v>
      </c>
      <c r="T266" t="str">
        <f t="shared" si="86"/>
        <v>101-130</v>
      </c>
      <c r="U266">
        <f t="shared" si="87"/>
        <v>1.1499999999999999</v>
      </c>
      <c r="V266">
        <v>1</v>
      </c>
      <c r="W266">
        <f t="shared" si="88"/>
        <v>1.36</v>
      </c>
      <c r="X266">
        <v>3.6</v>
      </c>
      <c r="Y266" t="str">
        <f t="shared" si="89"/>
        <v>2.9-4</v>
      </c>
      <c r="Z266">
        <f t="shared" si="90"/>
        <v>2.42</v>
      </c>
      <c r="AA266">
        <v>1</v>
      </c>
      <c r="AB266">
        <f t="shared" si="91"/>
        <v>0.78</v>
      </c>
      <c r="AC266">
        <v>1</v>
      </c>
      <c r="AD266">
        <f t="shared" si="92"/>
        <v>0.91</v>
      </c>
      <c r="AE266">
        <v>1</v>
      </c>
      <c r="AF266">
        <f t="shared" si="93"/>
        <v>-1.06</v>
      </c>
      <c r="AG266">
        <v>1</v>
      </c>
      <c r="AH266" t="str">
        <f t="shared" si="94"/>
        <v>Yes</v>
      </c>
    </row>
    <row r="267" spans="1:34">
      <c r="A267">
        <v>266</v>
      </c>
      <c r="B267">
        <v>42</v>
      </c>
      <c r="C267" t="str">
        <f t="shared" si="76"/>
        <v>37-46</v>
      </c>
      <c r="D267">
        <f t="shared" si="77"/>
        <v>-0.83</v>
      </c>
      <c r="E267">
        <v>1</v>
      </c>
      <c r="F267">
        <f t="shared" si="78"/>
        <v>0.38</v>
      </c>
      <c r="G267">
        <v>3</v>
      </c>
      <c r="H267">
        <f t="shared" si="79"/>
        <v>1.1599999999999999</v>
      </c>
      <c r="I267">
        <v>136</v>
      </c>
      <c r="J267" s="2" t="str">
        <f t="shared" si="80"/>
        <v>121-150</v>
      </c>
      <c r="K267" s="2">
        <f t="shared" si="81"/>
        <v>0.04</v>
      </c>
      <c r="L267">
        <v>315</v>
      </c>
      <c r="M267" t="str">
        <f t="shared" si="82"/>
        <v>351-400</v>
      </c>
      <c r="N267">
        <f t="shared" si="83"/>
        <v>0.17</v>
      </c>
      <c r="O267">
        <v>0</v>
      </c>
      <c r="P267">
        <f t="shared" si="84"/>
        <v>-0.02</v>
      </c>
      <c r="Q267">
        <v>0</v>
      </c>
      <c r="R267">
        <f t="shared" si="85"/>
        <v>-0.36</v>
      </c>
      <c r="S267">
        <v>125</v>
      </c>
      <c r="T267" t="str">
        <f t="shared" si="86"/>
        <v>101-130</v>
      </c>
      <c r="U267">
        <f t="shared" si="87"/>
        <v>1.1499999999999999</v>
      </c>
      <c r="V267">
        <v>1</v>
      </c>
      <c r="W267">
        <f t="shared" si="88"/>
        <v>1.36</v>
      </c>
      <c r="X267">
        <v>1.8</v>
      </c>
      <c r="Y267" t="str">
        <f t="shared" si="89"/>
        <v>1.6-2.8</v>
      </c>
      <c r="Z267">
        <f t="shared" si="90"/>
        <v>0.99</v>
      </c>
      <c r="AA267">
        <v>1</v>
      </c>
      <c r="AB267">
        <f t="shared" si="91"/>
        <v>0.78</v>
      </c>
      <c r="AC267">
        <v>0</v>
      </c>
      <c r="AD267">
        <f t="shared" si="92"/>
        <v>-0.87</v>
      </c>
      <c r="AE267">
        <v>2</v>
      </c>
      <c r="AF267">
        <f t="shared" si="93"/>
        <v>0.86</v>
      </c>
      <c r="AG267">
        <v>1</v>
      </c>
      <c r="AH267" t="str">
        <f t="shared" si="94"/>
        <v>Yes</v>
      </c>
    </row>
    <row r="268" spans="1:34">
      <c r="A268">
        <v>267</v>
      </c>
      <c r="B268">
        <v>52</v>
      </c>
      <c r="C268" t="str">
        <f t="shared" si="76"/>
        <v>47-56</v>
      </c>
      <c r="D268">
        <f t="shared" si="77"/>
        <v>-0.28000000000000003</v>
      </c>
      <c r="E268">
        <v>1</v>
      </c>
      <c r="F268">
        <f t="shared" si="78"/>
        <v>0.38</v>
      </c>
      <c r="G268">
        <v>3</v>
      </c>
      <c r="H268">
        <f t="shared" si="79"/>
        <v>1.1599999999999999</v>
      </c>
      <c r="I268">
        <v>128</v>
      </c>
      <c r="J268" s="2" t="str">
        <f t="shared" si="80"/>
        <v>121-150</v>
      </c>
      <c r="K268" s="2">
        <f t="shared" si="81"/>
        <v>0.04</v>
      </c>
      <c r="L268">
        <v>204</v>
      </c>
      <c r="M268" t="str">
        <f t="shared" si="82"/>
        <v>201-250</v>
      </c>
      <c r="N268">
        <f t="shared" si="83"/>
        <v>0.17</v>
      </c>
      <c r="O268">
        <v>1</v>
      </c>
      <c r="P268">
        <f t="shared" si="84"/>
        <v>0.12</v>
      </c>
      <c r="Q268">
        <v>0</v>
      </c>
      <c r="R268">
        <f t="shared" si="85"/>
        <v>-0.36</v>
      </c>
      <c r="S268">
        <v>156</v>
      </c>
      <c r="T268" t="str">
        <f t="shared" si="86"/>
        <v>131-160</v>
      </c>
      <c r="U268">
        <f t="shared" si="87"/>
        <v>0.2</v>
      </c>
      <c r="V268">
        <v>1</v>
      </c>
      <c r="W268">
        <f t="shared" si="88"/>
        <v>1.36</v>
      </c>
      <c r="X268">
        <v>1</v>
      </c>
      <c r="Y268" t="str">
        <f t="shared" si="89"/>
        <v>0.1-1.5</v>
      </c>
      <c r="Z268">
        <f t="shared" si="90"/>
        <v>-0.48</v>
      </c>
      <c r="AA268">
        <v>1</v>
      </c>
      <c r="AB268">
        <f t="shared" si="91"/>
        <v>0.78</v>
      </c>
      <c r="AC268">
        <v>0</v>
      </c>
      <c r="AD268">
        <f t="shared" si="92"/>
        <v>-0.87</v>
      </c>
      <c r="AE268">
        <v>1</v>
      </c>
      <c r="AF268">
        <f t="shared" si="93"/>
        <v>-1.06</v>
      </c>
      <c r="AG268">
        <v>1</v>
      </c>
      <c r="AH268" t="str">
        <f t="shared" si="94"/>
        <v>Yes</v>
      </c>
    </row>
    <row r="269" spans="1:34">
      <c r="A269">
        <v>268</v>
      </c>
      <c r="B269">
        <v>59</v>
      </c>
      <c r="C269" t="str">
        <f t="shared" si="76"/>
        <v>57-66</v>
      </c>
      <c r="D269">
        <f t="shared" si="77"/>
        <v>0.64</v>
      </c>
      <c r="E269">
        <v>1</v>
      </c>
      <c r="F269">
        <f t="shared" si="78"/>
        <v>0.38</v>
      </c>
      <c r="G269">
        <v>2</v>
      </c>
      <c r="H269">
        <f t="shared" si="79"/>
        <v>-1.1599999999999999</v>
      </c>
      <c r="I269">
        <v>126</v>
      </c>
      <c r="J269" s="2" t="str">
        <f t="shared" si="80"/>
        <v>121-150</v>
      </c>
      <c r="K269" s="2">
        <f t="shared" si="81"/>
        <v>0.04</v>
      </c>
      <c r="L269">
        <v>218</v>
      </c>
      <c r="M269" t="str">
        <f t="shared" si="82"/>
        <v>201-250</v>
      </c>
      <c r="N269">
        <f t="shared" si="83"/>
        <v>0.17</v>
      </c>
      <c r="O269">
        <v>1</v>
      </c>
      <c r="P269">
        <f t="shared" si="84"/>
        <v>0.12</v>
      </c>
      <c r="Q269">
        <v>0</v>
      </c>
      <c r="R269">
        <f t="shared" si="85"/>
        <v>-0.36</v>
      </c>
      <c r="S269">
        <v>134</v>
      </c>
      <c r="T269" t="str">
        <f t="shared" si="86"/>
        <v>131-160</v>
      </c>
      <c r="U269">
        <f t="shared" si="87"/>
        <v>0.2</v>
      </c>
      <c r="V269">
        <v>0</v>
      </c>
      <c r="W269">
        <f t="shared" si="88"/>
        <v>-0.64</v>
      </c>
      <c r="X269">
        <v>2.2000000000000002</v>
      </c>
      <c r="Y269" t="str">
        <f t="shared" si="89"/>
        <v>1.6-2.8</v>
      </c>
      <c r="Z269">
        <f t="shared" si="90"/>
        <v>0.99</v>
      </c>
      <c r="AA269">
        <v>1</v>
      </c>
      <c r="AB269">
        <f t="shared" si="91"/>
        <v>0.78</v>
      </c>
      <c r="AC269">
        <v>1</v>
      </c>
      <c r="AD269">
        <f t="shared" si="92"/>
        <v>0.91</v>
      </c>
      <c r="AE269">
        <v>2</v>
      </c>
      <c r="AF269">
        <f t="shared" si="93"/>
        <v>0.86</v>
      </c>
      <c r="AG269">
        <v>1</v>
      </c>
      <c r="AH269" t="str">
        <f t="shared" si="94"/>
        <v>Yes</v>
      </c>
    </row>
    <row r="270" spans="1:34">
      <c r="A270">
        <v>269</v>
      </c>
      <c r="B270">
        <v>40</v>
      </c>
      <c r="C270" t="str">
        <f t="shared" si="76"/>
        <v>37-46</v>
      </c>
      <c r="D270">
        <f t="shared" si="77"/>
        <v>-0.83</v>
      </c>
      <c r="E270">
        <v>1</v>
      </c>
      <c r="F270">
        <f t="shared" si="78"/>
        <v>0.38</v>
      </c>
      <c r="G270">
        <v>3</v>
      </c>
      <c r="H270">
        <f t="shared" si="79"/>
        <v>1.1599999999999999</v>
      </c>
      <c r="I270">
        <v>152</v>
      </c>
      <c r="J270" s="2" t="str">
        <f t="shared" si="80"/>
        <v>151-180</v>
      </c>
      <c r="K270" s="2">
        <f t="shared" si="81"/>
        <v>0.56999999999999995</v>
      </c>
      <c r="L270">
        <v>223</v>
      </c>
      <c r="M270" t="str">
        <f t="shared" si="82"/>
        <v>201-250</v>
      </c>
      <c r="N270">
        <f t="shared" si="83"/>
        <v>0.17</v>
      </c>
      <c r="O270">
        <v>0</v>
      </c>
      <c r="P270">
        <f t="shared" si="84"/>
        <v>-0.02</v>
      </c>
      <c r="Q270">
        <v>0</v>
      </c>
      <c r="R270">
        <f t="shared" si="85"/>
        <v>-0.36</v>
      </c>
      <c r="S270">
        <v>181</v>
      </c>
      <c r="T270" t="str">
        <f t="shared" si="86"/>
        <v>161-190</v>
      </c>
      <c r="U270">
        <f t="shared" si="87"/>
        <v>-1.01</v>
      </c>
      <c r="V270">
        <v>0</v>
      </c>
      <c r="W270">
        <f t="shared" si="88"/>
        <v>-0.64</v>
      </c>
      <c r="X270">
        <v>0</v>
      </c>
      <c r="Y270" t="str">
        <f t="shared" si="89"/>
        <v>0.1-1.5</v>
      </c>
      <c r="Z270">
        <f t="shared" si="90"/>
        <v>-0.48</v>
      </c>
      <c r="AA270">
        <v>0</v>
      </c>
      <c r="AB270">
        <f t="shared" si="91"/>
        <v>-0.91</v>
      </c>
      <c r="AC270">
        <v>0</v>
      </c>
      <c r="AD270">
        <f t="shared" si="92"/>
        <v>-0.87</v>
      </c>
      <c r="AE270">
        <v>3</v>
      </c>
      <c r="AF270">
        <f t="shared" si="93"/>
        <v>1.32</v>
      </c>
      <c r="AG270">
        <v>1</v>
      </c>
      <c r="AH270" t="str">
        <f t="shared" si="94"/>
        <v>Yes</v>
      </c>
    </row>
    <row r="271" spans="1:34">
      <c r="A271">
        <v>270</v>
      </c>
      <c r="B271">
        <v>42</v>
      </c>
      <c r="C271" t="str">
        <f t="shared" si="76"/>
        <v>37-46</v>
      </c>
      <c r="D271">
        <f t="shared" si="77"/>
        <v>-0.83</v>
      </c>
      <c r="E271">
        <v>1</v>
      </c>
      <c r="F271">
        <f t="shared" si="78"/>
        <v>0.38</v>
      </c>
      <c r="G271">
        <v>2</v>
      </c>
      <c r="H271">
        <f t="shared" si="79"/>
        <v>-1.1599999999999999</v>
      </c>
      <c r="I271">
        <v>130</v>
      </c>
      <c r="J271" s="2" t="str">
        <f t="shared" si="80"/>
        <v>121-150</v>
      </c>
      <c r="K271" s="2">
        <f t="shared" si="81"/>
        <v>0.04</v>
      </c>
      <c r="L271">
        <v>180</v>
      </c>
      <c r="M271" t="str">
        <f t="shared" si="82"/>
        <v>126-200</v>
      </c>
      <c r="N271">
        <f t="shared" si="83"/>
        <v>-0.16</v>
      </c>
      <c r="O271">
        <v>0</v>
      </c>
      <c r="P271">
        <f t="shared" si="84"/>
        <v>-0.02</v>
      </c>
      <c r="Q271">
        <v>0</v>
      </c>
      <c r="R271">
        <f t="shared" si="85"/>
        <v>-0.36</v>
      </c>
      <c r="S271">
        <v>150</v>
      </c>
      <c r="T271" t="str">
        <f t="shared" si="86"/>
        <v>131-160</v>
      </c>
      <c r="U271">
        <f t="shared" si="87"/>
        <v>0.2</v>
      </c>
      <c r="V271">
        <v>0</v>
      </c>
      <c r="W271">
        <f t="shared" si="88"/>
        <v>-0.64</v>
      </c>
      <c r="X271">
        <v>0</v>
      </c>
      <c r="Y271" t="str">
        <f t="shared" si="89"/>
        <v>0.1-1.5</v>
      </c>
      <c r="Z271">
        <f t="shared" si="90"/>
        <v>-0.48</v>
      </c>
      <c r="AA271">
        <v>0</v>
      </c>
      <c r="AB271">
        <f t="shared" si="91"/>
        <v>-0.91</v>
      </c>
      <c r="AC271">
        <v>0</v>
      </c>
      <c r="AD271">
        <f t="shared" si="92"/>
        <v>-0.87</v>
      </c>
      <c r="AE271">
        <v>1</v>
      </c>
      <c r="AF271">
        <f t="shared" si="93"/>
        <v>-1.06</v>
      </c>
      <c r="AG271">
        <v>0</v>
      </c>
      <c r="AH271" t="str">
        <f t="shared" si="94"/>
        <v>No</v>
      </c>
    </row>
    <row r="272" spans="1:34">
      <c r="A272">
        <v>271</v>
      </c>
      <c r="B272">
        <v>61</v>
      </c>
      <c r="C272" t="str">
        <f t="shared" si="76"/>
        <v>57-66</v>
      </c>
      <c r="D272">
        <f t="shared" si="77"/>
        <v>0.64</v>
      </c>
      <c r="E272">
        <v>1</v>
      </c>
      <c r="F272">
        <f t="shared" si="78"/>
        <v>0.38</v>
      </c>
      <c r="G272">
        <v>3</v>
      </c>
      <c r="H272">
        <f t="shared" si="79"/>
        <v>1.1599999999999999</v>
      </c>
      <c r="I272">
        <v>140</v>
      </c>
      <c r="J272" s="2" t="str">
        <f t="shared" si="80"/>
        <v>121-150</v>
      </c>
      <c r="K272" s="2">
        <f t="shared" si="81"/>
        <v>0.04</v>
      </c>
      <c r="L272">
        <v>207</v>
      </c>
      <c r="M272" t="str">
        <f t="shared" si="82"/>
        <v>201-250</v>
      </c>
      <c r="N272">
        <f t="shared" si="83"/>
        <v>0.17</v>
      </c>
      <c r="O272">
        <v>0</v>
      </c>
      <c r="P272">
        <f t="shared" si="84"/>
        <v>-0.02</v>
      </c>
      <c r="Q272">
        <v>2</v>
      </c>
      <c r="R272">
        <f t="shared" si="85"/>
        <v>0.33</v>
      </c>
      <c r="S272">
        <v>138</v>
      </c>
      <c r="T272" t="str">
        <f t="shared" si="86"/>
        <v>131-160</v>
      </c>
      <c r="U272">
        <f t="shared" si="87"/>
        <v>0.2</v>
      </c>
      <c r="V272">
        <v>1</v>
      </c>
      <c r="W272">
        <f t="shared" si="88"/>
        <v>1.36</v>
      </c>
      <c r="X272">
        <v>1.9</v>
      </c>
      <c r="Y272" t="str">
        <f t="shared" si="89"/>
        <v>1.6-2.8</v>
      </c>
      <c r="Z272">
        <f t="shared" si="90"/>
        <v>0.99</v>
      </c>
      <c r="AA272">
        <v>0</v>
      </c>
      <c r="AB272">
        <f t="shared" si="91"/>
        <v>-0.91</v>
      </c>
      <c r="AC272">
        <v>1</v>
      </c>
      <c r="AD272">
        <f t="shared" si="92"/>
        <v>0.91</v>
      </c>
      <c r="AE272">
        <v>3</v>
      </c>
      <c r="AF272">
        <f t="shared" si="93"/>
        <v>1.32</v>
      </c>
      <c r="AG272">
        <v>1</v>
      </c>
      <c r="AH272" t="str">
        <f t="shared" si="94"/>
        <v>Yes</v>
      </c>
    </row>
    <row r="273" spans="1:34">
      <c r="A273">
        <v>272</v>
      </c>
      <c r="B273">
        <v>66</v>
      </c>
      <c r="C273" t="str">
        <f t="shared" si="76"/>
        <v>57-66</v>
      </c>
      <c r="D273">
        <f t="shared" si="77"/>
        <v>0.64</v>
      </c>
      <c r="E273">
        <v>1</v>
      </c>
      <c r="F273">
        <f t="shared" si="78"/>
        <v>0.38</v>
      </c>
      <c r="G273">
        <v>3</v>
      </c>
      <c r="H273">
        <f t="shared" si="79"/>
        <v>1.1599999999999999</v>
      </c>
      <c r="I273">
        <v>160</v>
      </c>
      <c r="J273" s="2" t="str">
        <f t="shared" si="80"/>
        <v>151-180</v>
      </c>
      <c r="K273" s="2">
        <f t="shared" si="81"/>
        <v>0.56999999999999995</v>
      </c>
      <c r="L273">
        <v>228</v>
      </c>
      <c r="M273" t="str">
        <f t="shared" si="82"/>
        <v>201-250</v>
      </c>
      <c r="N273">
        <f t="shared" si="83"/>
        <v>0.17</v>
      </c>
      <c r="O273">
        <v>0</v>
      </c>
      <c r="P273">
        <f t="shared" si="84"/>
        <v>-0.02</v>
      </c>
      <c r="Q273">
        <v>2</v>
      </c>
      <c r="R273">
        <f t="shared" si="85"/>
        <v>0.33</v>
      </c>
      <c r="S273">
        <v>138</v>
      </c>
      <c r="T273" t="str">
        <f t="shared" si="86"/>
        <v>131-160</v>
      </c>
      <c r="U273">
        <f t="shared" si="87"/>
        <v>0.2</v>
      </c>
      <c r="V273">
        <v>0</v>
      </c>
      <c r="W273">
        <f t="shared" si="88"/>
        <v>-0.64</v>
      </c>
      <c r="X273">
        <v>2.2999999999999998</v>
      </c>
      <c r="Y273" t="str">
        <f t="shared" si="89"/>
        <v>1.6-2.8</v>
      </c>
      <c r="Z273">
        <f t="shared" si="90"/>
        <v>0.99</v>
      </c>
      <c r="AA273">
        <v>0</v>
      </c>
      <c r="AB273">
        <f t="shared" si="91"/>
        <v>-0.91</v>
      </c>
      <c r="AC273">
        <v>0</v>
      </c>
      <c r="AD273">
        <f t="shared" si="92"/>
        <v>-0.87</v>
      </c>
      <c r="AE273">
        <v>2</v>
      </c>
      <c r="AF273">
        <f t="shared" si="93"/>
        <v>0.86</v>
      </c>
      <c r="AG273">
        <v>0</v>
      </c>
      <c r="AH273" t="str">
        <f t="shared" si="94"/>
        <v>No</v>
      </c>
    </row>
    <row r="274" spans="1:34">
      <c r="A274">
        <v>273</v>
      </c>
      <c r="B274">
        <v>46</v>
      </c>
      <c r="C274" t="str">
        <f t="shared" si="76"/>
        <v>37-46</v>
      </c>
      <c r="D274">
        <f t="shared" si="77"/>
        <v>-0.83</v>
      </c>
      <c r="E274">
        <v>1</v>
      </c>
      <c r="F274">
        <f t="shared" si="78"/>
        <v>0.38</v>
      </c>
      <c r="G274">
        <v>3</v>
      </c>
      <c r="H274">
        <f t="shared" si="79"/>
        <v>1.1599999999999999</v>
      </c>
      <c r="I274">
        <v>140</v>
      </c>
      <c r="J274" s="2" t="str">
        <f t="shared" si="80"/>
        <v>121-150</v>
      </c>
      <c r="K274" s="2">
        <f t="shared" si="81"/>
        <v>0.04</v>
      </c>
      <c r="L274">
        <v>311</v>
      </c>
      <c r="M274" t="str">
        <f t="shared" si="82"/>
        <v>351-400</v>
      </c>
      <c r="N274">
        <f t="shared" si="83"/>
        <v>0.17</v>
      </c>
      <c r="O274">
        <v>0</v>
      </c>
      <c r="P274">
        <f t="shared" si="84"/>
        <v>-0.02</v>
      </c>
      <c r="Q274">
        <v>0</v>
      </c>
      <c r="R274">
        <f t="shared" si="85"/>
        <v>-0.36</v>
      </c>
      <c r="S274">
        <v>120</v>
      </c>
      <c r="T274" t="str">
        <f t="shared" si="86"/>
        <v>101-130</v>
      </c>
      <c r="U274">
        <f t="shared" si="87"/>
        <v>1.1499999999999999</v>
      </c>
      <c r="V274">
        <v>1</v>
      </c>
      <c r="W274">
        <f t="shared" si="88"/>
        <v>1.36</v>
      </c>
      <c r="X274">
        <v>1.8</v>
      </c>
      <c r="Y274" t="str">
        <f t="shared" si="89"/>
        <v>1.6-2.8</v>
      </c>
      <c r="Z274">
        <f t="shared" si="90"/>
        <v>0.99</v>
      </c>
      <c r="AA274">
        <v>1</v>
      </c>
      <c r="AB274">
        <f t="shared" si="91"/>
        <v>0.78</v>
      </c>
      <c r="AC274">
        <v>2</v>
      </c>
      <c r="AD274">
        <f t="shared" si="92"/>
        <v>1.65</v>
      </c>
      <c r="AE274">
        <v>3</v>
      </c>
      <c r="AF274">
        <f t="shared" si="93"/>
        <v>1.32</v>
      </c>
      <c r="AG274">
        <v>1</v>
      </c>
      <c r="AH274" t="str">
        <f t="shared" si="94"/>
        <v>Yes</v>
      </c>
    </row>
    <row r="275" spans="1:34">
      <c r="A275">
        <v>274</v>
      </c>
      <c r="B275">
        <v>71</v>
      </c>
      <c r="C275" t="str">
        <f t="shared" si="76"/>
        <v>66+</v>
      </c>
      <c r="D275">
        <f t="shared" si="77"/>
        <v>0.17</v>
      </c>
      <c r="E275">
        <v>0</v>
      </c>
      <c r="F275">
        <f t="shared" si="78"/>
        <v>-0.89</v>
      </c>
      <c r="G275">
        <v>3</v>
      </c>
      <c r="H275">
        <f t="shared" si="79"/>
        <v>1.1599999999999999</v>
      </c>
      <c r="I275">
        <v>112</v>
      </c>
      <c r="J275" s="2" t="str">
        <f t="shared" si="80"/>
        <v>94-120</v>
      </c>
      <c r="K275" s="2">
        <f t="shared" si="81"/>
        <v>-0.32</v>
      </c>
      <c r="L275">
        <v>149</v>
      </c>
      <c r="M275" t="str">
        <f t="shared" si="82"/>
        <v>126-200</v>
      </c>
      <c r="N275">
        <f t="shared" si="83"/>
        <v>-0.16</v>
      </c>
      <c r="O275">
        <v>0</v>
      </c>
      <c r="P275">
        <f t="shared" si="84"/>
        <v>-0.02</v>
      </c>
      <c r="Q275">
        <v>0</v>
      </c>
      <c r="R275">
        <f t="shared" si="85"/>
        <v>-0.36</v>
      </c>
      <c r="S275">
        <v>125</v>
      </c>
      <c r="T275" t="str">
        <f t="shared" si="86"/>
        <v>101-130</v>
      </c>
      <c r="U275">
        <f t="shared" si="87"/>
        <v>1.1499999999999999</v>
      </c>
      <c r="V275">
        <v>0</v>
      </c>
      <c r="W275">
        <f t="shared" si="88"/>
        <v>-0.64</v>
      </c>
      <c r="X275">
        <v>1.6</v>
      </c>
      <c r="Y275" t="str">
        <f t="shared" si="89"/>
        <v>1.6-2.8</v>
      </c>
      <c r="Z275">
        <f t="shared" si="90"/>
        <v>0.99</v>
      </c>
      <c r="AA275">
        <v>1</v>
      </c>
      <c r="AB275">
        <f t="shared" si="91"/>
        <v>0.78</v>
      </c>
      <c r="AC275">
        <v>0</v>
      </c>
      <c r="AD275">
        <f t="shared" si="92"/>
        <v>-0.87</v>
      </c>
      <c r="AE275">
        <v>1</v>
      </c>
      <c r="AF275">
        <f t="shared" si="93"/>
        <v>-1.06</v>
      </c>
      <c r="AG275">
        <v>0</v>
      </c>
      <c r="AH275" t="str">
        <f t="shared" si="94"/>
        <v>No</v>
      </c>
    </row>
    <row r="276" spans="1:34">
      <c r="A276">
        <v>275</v>
      </c>
      <c r="B276">
        <v>59</v>
      </c>
      <c r="C276" t="str">
        <f t="shared" si="76"/>
        <v>57-66</v>
      </c>
      <c r="D276">
        <f t="shared" si="77"/>
        <v>0.64</v>
      </c>
      <c r="E276">
        <v>1</v>
      </c>
      <c r="F276">
        <f t="shared" si="78"/>
        <v>0.38</v>
      </c>
      <c r="G276">
        <v>0</v>
      </c>
      <c r="H276">
        <f t="shared" si="79"/>
        <v>-0.66</v>
      </c>
      <c r="I276">
        <v>134</v>
      </c>
      <c r="J276" s="2" t="str">
        <f t="shared" si="80"/>
        <v>121-150</v>
      </c>
      <c r="K276" s="2">
        <f t="shared" si="81"/>
        <v>0.04</v>
      </c>
      <c r="L276">
        <v>204</v>
      </c>
      <c r="M276" t="str">
        <f t="shared" si="82"/>
        <v>201-250</v>
      </c>
      <c r="N276">
        <f t="shared" si="83"/>
        <v>0.17</v>
      </c>
      <c r="O276">
        <v>0</v>
      </c>
      <c r="P276">
        <f t="shared" si="84"/>
        <v>-0.02</v>
      </c>
      <c r="Q276">
        <v>0</v>
      </c>
      <c r="R276">
        <f t="shared" si="85"/>
        <v>-0.36</v>
      </c>
      <c r="S276">
        <v>162</v>
      </c>
      <c r="T276" t="str">
        <f t="shared" si="86"/>
        <v>161-190</v>
      </c>
      <c r="U276">
        <f t="shared" si="87"/>
        <v>-1.01</v>
      </c>
      <c r="V276">
        <v>0</v>
      </c>
      <c r="W276">
        <f t="shared" si="88"/>
        <v>-0.64</v>
      </c>
      <c r="X276">
        <v>0.8</v>
      </c>
      <c r="Y276" t="str">
        <f t="shared" si="89"/>
        <v>0.1-1.5</v>
      </c>
      <c r="Z276">
        <f t="shared" si="90"/>
        <v>-0.48</v>
      </c>
      <c r="AA276">
        <v>0</v>
      </c>
      <c r="AB276">
        <f t="shared" si="91"/>
        <v>-0.91</v>
      </c>
      <c r="AC276">
        <v>2</v>
      </c>
      <c r="AD276">
        <f t="shared" si="92"/>
        <v>1.65</v>
      </c>
      <c r="AE276">
        <v>1</v>
      </c>
      <c r="AF276">
        <f t="shared" si="93"/>
        <v>-1.06</v>
      </c>
      <c r="AG276">
        <v>1</v>
      </c>
      <c r="AH276" t="str">
        <f t="shared" si="94"/>
        <v>Yes</v>
      </c>
    </row>
    <row r="277" spans="1:34">
      <c r="A277">
        <v>276</v>
      </c>
      <c r="B277">
        <v>64</v>
      </c>
      <c r="C277" t="str">
        <f t="shared" si="76"/>
        <v>57-66</v>
      </c>
      <c r="D277">
        <f t="shared" si="77"/>
        <v>0.64</v>
      </c>
      <c r="E277">
        <v>1</v>
      </c>
      <c r="F277">
        <f t="shared" si="78"/>
        <v>0.38</v>
      </c>
      <c r="G277">
        <v>0</v>
      </c>
      <c r="H277">
        <f t="shared" si="79"/>
        <v>-0.66</v>
      </c>
      <c r="I277">
        <v>170</v>
      </c>
      <c r="J277" s="2" t="str">
        <f t="shared" si="80"/>
        <v>151-180</v>
      </c>
      <c r="K277" s="2">
        <f t="shared" si="81"/>
        <v>0.56999999999999995</v>
      </c>
      <c r="L277">
        <v>227</v>
      </c>
      <c r="M277" t="str">
        <f t="shared" si="82"/>
        <v>201-250</v>
      </c>
      <c r="N277">
        <f t="shared" si="83"/>
        <v>0.17</v>
      </c>
      <c r="O277">
        <v>0</v>
      </c>
      <c r="P277">
        <f t="shared" si="84"/>
        <v>-0.02</v>
      </c>
      <c r="Q277">
        <v>2</v>
      </c>
      <c r="R277">
        <f t="shared" si="85"/>
        <v>0.33</v>
      </c>
      <c r="S277">
        <v>155</v>
      </c>
      <c r="T277" t="str">
        <f t="shared" si="86"/>
        <v>131-160</v>
      </c>
      <c r="U277">
        <f t="shared" si="87"/>
        <v>0.2</v>
      </c>
      <c r="V277">
        <v>0</v>
      </c>
      <c r="W277">
        <f t="shared" si="88"/>
        <v>-0.64</v>
      </c>
      <c r="X277">
        <v>0.6</v>
      </c>
      <c r="Y277" t="str">
        <f t="shared" si="89"/>
        <v>0.1-1.5</v>
      </c>
      <c r="Z277">
        <f t="shared" si="90"/>
        <v>-0.48</v>
      </c>
      <c r="AA277">
        <v>1</v>
      </c>
      <c r="AB277">
        <f t="shared" si="91"/>
        <v>0.78</v>
      </c>
      <c r="AC277">
        <v>0</v>
      </c>
      <c r="AD277">
        <f t="shared" si="92"/>
        <v>-0.87</v>
      </c>
      <c r="AE277">
        <v>3</v>
      </c>
      <c r="AF277">
        <f t="shared" si="93"/>
        <v>1.32</v>
      </c>
      <c r="AG277">
        <v>0</v>
      </c>
      <c r="AH277" t="str">
        <f t="shared" si="94"/>
        <v>No</v>
      </c>
    </row>
    <row r="278" spans="1:34">
      <c r="A278">
        <v>277</v>
      </c>
      <c r="B278">
        <v>66</v>
      </c>
      <c r="C278" t="str">
        <f t="shared" si="76"/>
        <v>57-66</v>
      </c>
      <c r="D278">
        <f t="shared" si="77"/>
        <v>0.64</v>
      </c>
      <c r="E278">
        <v>0</v>
      </c>
      <c r="F278">
        <f t="shared" si="78"/>
        <v>-0.89</v>
      </c>
      <c r="G278">
        <v>2</v>
      </c>
      <c r="H278">
        <f t="shared" si="79"/>
        <v>-1.1599999999999999</v>
      </c>
      <c r="I278">
        <v>146</v>
      </c>
      <c r="J278" s="2" t="str">
        <f t="shared" si="80"/>
        <v>121-150</v>
      </c>
      <c r="K278" s="2">
        <f t="shared" si="81"/>
        <v>0.04</v>
      </c>
      <c r="L278">
        <v>278</v>
      </c>
      <c r="M278" t="str">
        <f t="shared" si="82"/>
        <v>251-300</v>
      </c>
      <c r="N278">
        <f t="shared" si="83"/>
        <v>0.48</v>
      </c>
      <c r="O278">
        <v>0</v>
      </c>
      <c r="P278">
        <f t="shared" si="84"/>
        <v>-0.02</v>
      </c>
      <c r="Q278">
        <v>2</v>
      </c>
      <c r="R278">
        <f t="shared" si="85"/>
        <v>0.33</v>
      </c>
      <c r="S278">
        <v>152</v>
      </c>
      <c r="T278" t="str">
        <f t="shared" si="86"/>
        <v>131-160</v>
      </c>
      <c r="U278">
        <f t="shared" si="87"/>
        <v>0.2</v>
      </c>
      <c r="V278">
        <v>0</v>
      </c>
      <c r="W278">
        <f t="shared" si="88"/>
        <v>-0.64</v>
      </c>
      <c r="X278">
        <v>0</v>
      </c>
      <c r="Y278" t="str">
        <f t="shared" si="89"/>
        <v>0.1-1.5</v>
      </c>
      <c r="Z278">
        <f t="shared" si="90"/>
        <v>-0.48</v>
      </c>
      <c r="AA278">
        <v>1</v>
      </c>
      <c r="AB278">
        <f t="shared" si="91"/>
        <v>0.78</v>
      </c>
      <c r="AC278">
        <v>1</v>
      </c>
      <c r="AD278">
        <f t="shared" si="92"/>
        <v>0.91</v>
      </c>
      <c r="AE278">
        <v>1</v>
      </c>
      <c r="AF278">
        <f t="shared" si="93"/>
        <v>-1.06</v>
      </c>
      <c r="AG278">
        <v>0</v>
      </c>
      <c r="AH278" t="str">
        <f t="shared" si="94"/>
        <v>No</v>
      </c>
    </row>
    <row r="279" spans="1:34">
      <c r="A279">
        <v>278</v>
      </c>
      <c r="B279">
        <v>39</v>
      </c>
      <c r="C279" t="str">
        <f t="shared" si="76"/>
        <v>37-46</v>
      </c>
      <c r="D279">
        <f t="shared" si="77"/>
        <v>-0.83</v>
      </c>
      <c r="E279">
        <v>0</v>
      </c>
      <c r="F279">
        <f t="shared" si="78"/>
        <v>-0.89</v>
      </c>
      <c r="G279">
        <v>2</v>
      </c>
      <c r="H279">
        <f t="shared" si="79"/>
        <v>-1.1599999999999999</v>
      </c>
      <c r="I279">
        <v>138</v>
      </c>
      <c r="J279" s="2" t="str">
        <f t="shared" si="80"/>
        <v>121-150</v>
      </c>
      <c r="K279" s="2">
        <f t="shared" si="81"/>
        <v>0.04</v>
      </c>
      <c r="L279">
        <v>220</v>
      </c>
      <c r="M279" t="str">
        <f t="shared" si="82"/>
        <v>201-250</v>
      </c>
      <c r="N279">
        <f t="shared" si="83"/>
        <v>0.17</v>
      </c>
      <c r="O279">
        <v>0</v>
      </c>
      <c r="P279">
        <f t="shared" si="84"/>
        <v>-0.02</v>
      </c>
      <c r="Q279">
        <v>0</v>
      </c>
      <c r="R279">
        <f t="shared" si="85"/>
        <v>-0.36</v>
      </c>
      <c r="S279">
        <v>152</v>
      </c>
      <c r="T279" t="str">
        <f t="shared" si="86"/>
        <v>131-160</v>
      </c>
      <c r="U279">
        <f t="shared" si="87"/>
        <v>0.2</v>
      </c>
      <c r="V279">
        <v>0</v>
      </c>
      <c r="W279">
        <f t="shared" si="88"/>
        <v>-0.64</v>
      </c>
      <c r="X279">
        <v>0</v>
      </c>
      <c r="Y279" t="str">
        <f t="shared" si="89"/>
        <v>0.1-1.5</v>
      </c>
      <c r="Z279">
        <f t="shared" si="90"/>
        <v>-0.48</v>
      </c>
      <c r="AA279">
        <v>1</v>
      </c>
      <c r="AB279">
        <f t="shared" si="91"/>
        <v>0.78</v>
      </c>
      <c r="AC279">
        <v>0</v>
      </c>
      <c r="AD279">
        <f t="shared" si="92"/>
        <v>-0.87</v>
      </c>
      <c r="AE279">
        <v>1</v>
      </c>
      <c r="AF279">
        <f t="shared" si="93"/>
        <v>-1.06</v>
      </c>
      <c r="AG279">
        <v>0</v>
      </c>
      <c r="AH279" t="str">
        <f t="shared" si="94"/>
        <v>No</v>
      </c>
    </row>
    <row r="280" spans="1:34">
      <c r="A280">
        <v>279</v>
      </c>
      <c r="B280">
        <v>57</v>
      </c>
      <c r="C280" t="str">
        <f t="shared" si="76"/>
        <v>57-66</v>
      </c>
      <c r="D280">
        <f t="shared" si="77"/>
        <v>0.64</v>
      </c>
      <c r="E280">
        <v>1</v>
      </c>
      <c r="F280">
        <f t="shared" si="78"/>
        <v>0.38</v>
      </c>
      <c r="G280">
        <v>1</v>
      </c>
      <c r="H280">
        <f t="shared" si="79"/>
        <v>-1.35</v>
      </c>
      <c r="I280">
        <v>154</v>
      </c>
      <c r="J280" s="2" t="str">
        <f t="shared" si="80"/>
        <v>151-180</v>
      </c>
      <c r="K280" s="2">
        <f t="shared" si="81"/>
        <v>0.56999999999999995</v>
      </c>
      <c r="L280">
        <v>232</v>
      </c>
      <c r="M280" t="str">
        <f t="shared" si="82"/>
        <v>201-250</v>
      </c>
      <c r="N280">
        <f t="shared" si="83"/>
        <v>0.17</v>
      </c>
      <c r="O280">
        <v>0</v>
      </c>
      <c r="P280">
        <f t="shared" si="84"/>
        <v>-0.02</v>
      </c>
      <c r="Q280">
        <v>2</v>
      </c>
      <c r="R280">
        <f t="shared" si="85"/>
        <v>0.33</v>
      </c>
      <c r="S280">
        <v>164</v>
      </c>
      <c r="T280" t="str">
        <f t="shared" si="86"/>
        <v>161-190</v>
      </c>
      <c r="U280">
        <f t="shared" si="87"/>
        <v>-1.01</v>
      </c>
      <c r="V280">
        <v>0</v>
      </c>
      <c r="W280">
        <f t="shared" si="88"/>
        <v>-0.64</v>
      </c>
      <c r="X280">
        <v>0</v>
      </c>
      <c r="Y280" t="str">
        <f t="shared" si="89"/>
        <v>0.1-1.5</v>
      </c>
      <c r="Z280">
        <f t="shared" si="90"/>
        <v>-0.48</v>
      </c>
      <c r="AA280">
        <v>0</v>
      </c>
      <c r="AB280">
        <f t="shared" si="91"/>
        <v>-0.91</v>
      </c>
      <c r="AC280">
        <v>1</v>
      </c>
      <c r="AD280">
        <f t="shared" si="92"/>
        <v>0.91</v>
      </c>
      <c r="AE280">
        <v>1</v>
      </c>
      <c r="AF280">
        <f t="shared" si="93"/>
        <v>-1.06</v>
      </c>
      <c r="AG280">
        <v>1</v>
      </c>
      <c r="AH280" t="str">
        <f t="shared" si="94"/>
        <v>Yes</v>
      </c>
    </row>
    <row r="281" spans="1:34">
      <c r="A281">
        <v>280</v>
      </c>
      <c r="B281">
        <v>58</v>
      </c>
      <c r="C281" t="str">
        <f t="shared" si="76"/>
        <v>57-66</v>
      </c>
      <c r="D281">
        <f t="shared" si="77"/>
        <v>0.64</v>
      </c>
      <c r="E281">
        <v>0</v>
      </c>
      <c r="F281">
        <f t="shared" si="78"/>
        <v>-0.89</v>
      </c>
      <c r="G281">
        <v>3</v>
      </c>
      <c r="H281">
        <f t="shared" si="79"/>
        <v>1.1599999999999999</v>
      </c>
      <c r="I281">
        <v>130</v>
      </c>
      <c r="J281" s="2" t="str">
        <f t="shared" si="80"/>
        <v>121-150</v>
      </c>
      <c r="K281" s="2">
        <f t="shared" si="81"/>
        <v>0.04</v>
      </c>
      <c r="L281">
        <v>197</v>
      </c>
      <c r="M281" t="str">
        <f t="shared" si="82"/>
        <v>126-200</v>
      </c>
      <c r="N281">
        <f t="shared" si="83"/>
        <v>-0.16</v>
      </c>
      <c r="O281">
        <v>0</v>
      </c>
      <c r="P281">
        <f t="shared" si="84"/>
        <v>-0.02</v>
      </c>
      <c r="Q281">
        <v>0</v>
      </c>
      <c r="R281">
        <f t="shared" si="85"/>
        <v>-0.36</v>
      </c>
      <c r="S281">
        <v>131</v>
      </c>
      <c r="T281" t="str">
        <f t="shared" si="86"/>
        <v>131-160</v>
      </c>
      <c r="U281">
        <f t="shared" si="87"/>
        <v>0.2</v>
      </c>
      <c r="V281">
        <v>0</v>
      </c>
      <c r="W281">
        <f t="shared" si="88"/>
        <v>-0.64</v>
      </c>
      <c r="X281">
        <v>0.6</v>
      </c>
      <c r="Y281" t="str">
        <f t="shared" si="89"/>
        <v>0.1-1.5</v>
      </c>
      <c r="Z281">
        <f t="shared" si="90"/>
        <v>-0.48</v>
      </c>
      <c r="AA281">
        <v>1</v>
      </c>
      <c r="AB281">
        <f t="shared" si="91"/>
        <v>0.78</v>
      </c>
      <c r="AC281">
        <v>0</v>
      </c>
      <c r="AD281">
        <f t="shared" si="92"/>
        <v>-0.87</v>
      </c>
      <c r="AE281">
        <v>1</v>
      </c>
      <c r="AF281">
        <f t="shared" si="93"/>
        <v>-1.06</v>
      </c>
      <c r="AG281">
        <v>0</v>
      </c>
      <c r="AH281" t="str">
        <f t="shared" si="94"/>
        <v>No</v>
      </c>
    </row>
    <row r="282" spans="1:34">
      <c r="A282">
        <v>281</v>
      </c>
      <c r="B282">
        <v>57</v>
      </c>
      <c r="C282" t="str">
        <f t="shared" si="76"/>
        <v>57-66</v>
      </c>
      <c r="D282">
        <f t="shared" si="77"/>
        <v>0.64</v>
      </c>
      <c r="E282">
        <v>1</v>
      </c>
      <c r="F282">
        <f t="shared" si="78"/>
        <v>0.38</v>
      </c>
      <c r="G282">
        <v>3</v>
      </c>
      <c r="H282">
        <f t="shared" si="79"/>
        <v>1.1599999999999999</v>
      </c>
      <c r="I282">
        <v>110</v>
      </c>
      <c r="J282" s="2" t="str">
        <f t="shared" si="80"/>
        <v>94-120</v>
      </c>
      <c r="K282" s="2">
        <f t="shared" si="81"/>
        <v>-0.32</v>
      </c>
      <c r="L282">
        <v>335</v>
      </c>
      <c r="M282" t="str">
        <f t="shared" si="82"/>
        <v>351-400</v>
      </c>
      <c r="N282">
        <f t="shared" si="83"/>
        <v>0.17</v>
      </c>
      <c r="O282">
        <v>0</v>
      </c>
      <c r="P282">
        <f t="shared" si="84"/>
        <v>-0.02</v>
      </c>
      <c r="Q282">
        <v>0</v>
      </c>
      <c r="R282">
        <f t="shared" si="85"/>
        <v>-0.36</v>
      </c>
      <c r="S282">
        <v>143</v>
      </c>
      <c r="T282" t="str">
        <f t="shared" si="86"/>
        <v>131-160</v>
      </c>
      <c r="U282">
        <f t="shared" si="87"/>
        <v>0.2</v>
      </c>
      <c r="V282">
        <v>1</v>
      </c>
      <c r="W282">
        <f t="shared" si="88"/>
        <v>1.36</v>
      </c>
      <c r="X282">
        <v>3</v>
      </c>
      <c r="Y282" t="str">
        <f t="shared" si="89"/>
        <v>2.9-4</v>
      </c>
      <c r="Z282">
        <f t="shared" si="90"/>
        <v>2.42</v>
      </c>
      <c r="AA282">
        <v>1</v>
      </c>
      <c r="AB282">
        <f t="shared" si="91"/>
        <v>0.78</v>
      </c>
      <c r="AC282">
        <v>1</v>
      </c>
      <c r="AD282">
        <f t="shared" si="92"/>
        <v>0.91</v>
      </c>
      <c r="AE282">
        <v>3</v>
      </c>
      <c r="AF282">
        <f t="shared" si="93"/>
        <v>1.32</v>
      </c>
      <c r="AG282">
        <v>1</v>
      </c>
      <c r="AH282" t="str">
        <f t="shared" si="94"/>
        <v>Yes</v>
      </c>
    </row>
    <row r="283" spans="1:34">
      <c r="A283">
        <v>282</v>
      </c>
      <c r="B283">
        <v>47</v>
      </c>
      <c r="C283" t="str">
        <f t="shared" si="76"/>
        <v>47-56</v>
      </c>
      <c r="D283">
        <f t="shared" si="77"/>
        <v>-0.28000000000000003</v>
      </c>
      <c r="E283">
        <v>1</v>
      </c>
      <c r="F283">
        <f t="shared" si="78"/>
        <v>0.38</v>
      </c>
      <c r="G283">
        <v>2</v>
      </c>
      <c r="H283">
        <f t="shared" si="79"/>
        <v>-1.1599999999999999</v>
      </c>
      <c r="I283">
        <v>130</v>
      </c>
      <c r="J283" s="2" t="str">
        <f t="shared" si="80"/>
        <v>121-150</v>
      </c>
      <c r="K283" s="2">
        <f t="shared" si="81"/>
        <v>0.04</v>
      </c>
      <c r="L283">
        <v>253</v>
      </c>
      <c r="M283" t="str">
        <f t="shared" si="82"/>
        <v>251-300</v>
      </c>
      <c r="N283">
        <f t="shared" si="83"/>
        <v>0.48</v>
      </c>
      <c r="O283">
        <v>0</v>
      </c>
      <c r="P283">
        <f t="shared" si="84"/>
        <v>-0.02</v>
      </c>
      <c r="Q283">
        <v>0</v>
      </c>
      <c r="R283">
        <f t="shared" si="85"/>
        <v>-0.36</v>
      </c>
      <c r="S283">
        <v>179</v>
      </c>
      <c r="T283" t="str">
        <f t="shared" si="86"/>
        <v>161-190</v>
      </c>
      <c r="U283">
        <f t="shared" si="87"/>
        <v>-1.01</v>
      </c>
      <c r="V283">
        <v>0</v>
      </c>
      <c r="W283">
        <f t="shared" si="88"/>
        <v>-0.64</v>
      </c>
      <c r="X283">
        <v>0</v>
      </c>
      <c r="Y283" t="str">
        <f t="shared" si="89"/>
        <v>0.1-1.5</v>
      </c>
      <c r="Z283">
        <f t="shared" si="90"/>
        <v>-0.48</v>
      </c>
      <c r="AA283">
        <v>0</v>
      </c>
      <c r="AB283">
        <f t="shared" si="91"/>
        <v>-0.91</v>
      </c>
      <c r="AC283">
        <v>0</v>
      </c>
      <c r="AD283">
        <f t="shared" si="92"/>
        <v>-0.87</v>
      </c>
      <c r="AE283">
        <v>1</v>
      </c>
      <c r="AF283">
        <f t="shared" si="93"/>
        <v>-1.06</v>
      </c>
      <c r="AG283">
        <v>0</v>
      </c>
      <c r="AH283" t="str">
        <f t="shared" si="94"/>
        <v>No</v>
      </c>
    </row>
    <row r="284" spans="1:34">
      <c r="A284">
        <v>283</v>
      </c>
      <c r="B284">
        <v>55</v>
      </c>
      <c r="C284" t="str">
        <f t="shared" si="76"/>
        <v>47-56</v>
      </c>
      <c r="D284">
        <f t="shared" si="77"/>
        <v>-0.28000000000000003</v>
      </c>
      <c r="E284">
        <v>0</v>
      </c>
      <c r="F284">
        <f t="shared" si="78"/>
        <v>-0.89</v>
      </c>
      <c r="G284">
        <v>3</v>
      </c>
      <c r="H284">
        <f t="shared" si="79"/>
        <v>1.1599999999999999</v>
      </c>
      <c r="I284">
        <v>128</v>
      </c>
      <c r="J284" s="2" t="str">
        <f t="shared" si="80"/>
        <v>121-150</v>
      </c>
      <c r="K284" s="2">
        <f t="shared" si="81"/>
        <v>0.04</v>
      </c>
      <c r="L284">
        <v>205</v>
      </c>
      <c r="M284" t="str">
        <f t="shared" si="82"/>
        <v>201-250</v>
      </c>
      <c r="N284">
        <f t="shared" si="83"/>
        <v>0.17</v>
      </c>
      <c r="O284">
        <v>0</v>
      </c>
      <c r="P284">
        <f t="shared" si="84"/>
        <v>-0.02</v>
      </c>
      <c r="Q284">
        <v>1</v>
      </c>
      <c r="R284">
        <f t="shared" si="85"/>
        <v>1.26</v>
      </c>
      <c r="S284">
        <v>130</v>
      </c>
      <c r="T284" t="str">
        <f t="shared" si="86"/>
        <v>101-130</v>
      </c>
      <c r="U284">
        <f t="shared" si="87"/>
        <v>1.1499999999999999</v>
      </c>
      <c r="V284">
        <v>1</v>
      </c>
      <c r="W284">
        <f t="shared" si="88"/>
        <v>1.36</v>
      </c>
      <c r="X284">
        <v>2</v>
      </c>
      <c r="Y284" t="str">
        <f t="shared" si="89"/>
        <v>1.6-2.8</v>
      </c>
      <c r="Z284">
        <f t="shared" si="90"/>
        <v>0.99</v>
      </c>
      <c r="AA284">
        <v>1</v>
      </c>
      <c r="AB284">
        <f t="shared" si="91"/>
        <v>0.78</v>
      </c>
      <c r="AC284">
        <v>1</v>
      </c>
      <c r="AD284">
        <f t="shared" si="92"/>
        <v>0.91</v>
      </c>
      <c r="AE284">
        <v>3</v>
      </c>
      <c r="AF284">
        <f t="shared" si="93"/>
        <v>1.32</v>
      </c>
      <c r="AG284">
        <v>1</v>
      </c>
      <c r="AH284" t="str">
        <f t="shared" si="94"/>
        <v>Yes</v>
      </c>
    </row>
    <row r="285" spans="1:34">
      <c r="A285">
        <v>284</v>
      </c>
      <c r="B285">
        <v>35</v>
      </c>
      <c r="C285" t="str">
        <f t="shared" si="76"/>
        <v>27-36</v>
      </c>
      <c r="D285">
        <f t="shared" si="77"/>
        <v>-0.75</v>
      </c>
      <c r="E285">
        <v>1</v>
      </c>
      <c r="F285">
        <f t="shared" si="78"/>
        <v>0.38</v>
      </c>
      <c r="G285">
        <v>1</v>
      </c>
      <c r="H285">
        <f t="shared" si="79"/>
        <v>-1.35</v>
      </c>
      <c r="I285">
        <v>122</v>
      </c>
      <c r="J285" s="2" t="str">
        <f t="shared" si="80"/>
        <v>121-150</v>
      </c>
      <c r="K285" s="2">
        <f t="shared" si="81"/>
        <v>0.04</v>
      </c>
      <c r="L285">
        <v>192</v>
      </c>
      <c r="M285" t="str">
        <f t="shared" si="82"/>
        <v>126-200</v>
      </c>
      <c r="N285">
        <f t="shared" si="83"/>
        <v>-0.16</v>
      </c>
      <c r="O285">
        <v>0</v>
      </c>
      <c r="P285">
        <f t="shared" si="84"/>
        <v>-0.02</v>
      </c>
      <c r="Q285">
        <v>0</v>
      </c>
      <c r="R285">
        <f t="shared" si="85"/>
        <v>-0.36</v>
      </c>
      <c r="S285">
        <v>174</v>
      </c>
      <c r="T285" t="str">
        <f t="shared" si="86"/>
        <v>161-190</v>
      </c>
      <c r="U285">
        <f t="shared" si="87"/>
        <v>-1.01</v>
      </c>
      <c r="V285">
        <v>0</v>
      </c>
      <c r="W285">
        <f t="shared" si="88"/>
        <v>-0.64</v>
      </c>
      <c r="X285">
        <v>0</v>
      </c>
      <c r="Y285" t="str">
        <f t="shared" si="89"/>
        <v>0.1-1.5</v>
      </c>
      <c r="Z285">
        <f t="shared" si="90"/>
        <v>-0.48</v>
      </c>
      <c r="AA285">
        <v>0</v>
      </c>
      <c r="AB285">
        <f t="shared" si="91"/>
        <v>-0.91</v>
      </c>
      <c r="AC285">
        <v>0</v>
      </c>
      <c r="AD285">
        <f t="shared" si="92"/>
        <v>-0.87</v>
      </c>
      <c r="AE285">
        <v>1</v>
      </c>
      <c r="AF285">
        <f t="shared" si="93"/>
        <v>-1.06</v>
      </c>
      <c r="AG285">
        <v>0</v>
      </c>
      <c r="AH285" t="str">
        <f t="shared" si="94"/>
        <v>No</v>
      </c>
    </row>
    <row r="286" spans="1:34">
      <c r="A286">
        <v>285</v>
      </c>
      <c r="B286">
        <v>61</v>
      </c>
      <c r="C286" t="str">
        <f t="shared" si="76"/>
        <v>57-66</v>
      </c>
      <c r="D286">
        <f t="shared" si="77"/>
        <v>0.64</v>
      </c>
      <c r="E286">
        <v>1</v>
      </c>
      <c r="F286">
        <f t="shared" si="78"/>
        <v>0.38</v>
      </c>
      <c r="G286">
        <v>3</v>
      </c>
      <c r="H286">
        <f t="shared" si="79"/>
        <v>1.1599999999999999</v>
      </c>
      <c r="I286">
        <v>148</v>
      </c>
      <c r="J286" s="2" t="str">
        <f t="shared" si="80"/>
        <v>121-150</v>
      </c>
      <c r="K286" s="2">
        <f t="shared" si="81"/>
        <v>0.04</v>
      </c>
      <c r="L286">
        <v>203</v>
      </c>
      <c r="M286" t="str">
        <f t="shared" si="82"/>
        <v>201-250</v>
      </c>
      <c r="N286">
        <f t="shared" si="83"/>
        <v>0.17</v>
      </c>
      <c r="O286">
        <v>0</v>
      </c>
      <c r="P286">
        <f t="shared" si="84"/>
        <v>-0.02</v>
      </c>
      <c r="Q286">
        <v>0</v>
      </c>
      <c r="R286">
        <f t="shared" si="85"/>
        <v>-0.36</v>
      </c>
      <c r="S286">
        <v>161</v>
      </c>
      <c r="T286" t="str">
        <f t="shared" si="86"/>
        <v>161-190</v>
      </c>
      <c r="U286">
        <f t="shared" si="87"/>
        <v>-1.01</v>
      </c>
      <c r="V286">
        <v>0</v>
      </c>
      <c r="W286">
        <f t="shared" si="88"/>
        <v>-0.64</v>
      </c>
      <c r="X286">
        <v>0</v>
      </c>
      <c r="Y286" t="str">
        <f t="shared" si="89"/>
        <v>0.1-1.5</v>
      </c>
      <c r="Z286">
        <f t="shared" si="90"/>
        <v>-0.48</v>
      </c>
      <c r="AA286">
        <v>0</v>
      </c>
      <c r="AB286">
        <f t="shared" si="91"/>
        <v>-0.91</v>
      </c>
      <c r="AC286">
        <v>1</v>
      </c>
      <c r="AD286">
        <f t="shared" si="92"/>
        <v>0.91</v>
      </c>
      <c r="AE286">
        <v>3</v>
      </c>
      <c r="AF286">
        <f t="shared" si="93"/>
        <v>1.32</v>
      </c>
      <c r="AG286">
        <v>1</v>
      </c>
      <c r="AH286" t="str">
        <f t="shared" si="94"/>
        <v>Yes</v>
      </c>
    </row>
    <row r="287" spans="1:34">
      <c r="A287">
        <v>286</v>
      </c>
      <c r="B287">
        <v>58</v>
      </c>
      <c r="C287" t="str">
        <f t="shared" si="76"/>
        <v>57-66</v>
      </c>
      <c r="D287">
        <f t="shared" si="77"/>
        <v>0.64</v>
      </c>
      <c r="E287">
        <v>1</v>
      </c>
      <c r="F287">
        <f t="shared" si="78"/>
        <v>0.38</v>
      </c>
      <c r="G287">
        <v>3</v>
      </c>
      <c r="H287">
        <f t="shared" si="79"/>
        <v>1.1599999999999999</v>
      </c>
      <c r="I287">
        <v>114</v>
      </c>
      <c r="J287" s="2" t="str">
        <f t="shared" si="80"/>
        <v>94-120</v>
      </c>
      <c r="K287" s="2">
        <f t="shared" si="81"/>
        <v>-0.32</v>
      </c>
      <c r="L287">
        <v>318</v>
      </c>
      <c r="M287" t="str">
        <f t="shared" si="82"/>
        <v>351-400</v>
      </c>
      <c r="N287">
        <f t="shared" si="83"/>
        <v>0.17</v>
      </c>
      <c r="O287">
        <v>0</v>
      </c>
      <c r="P287">
        <f t="shared" si="84"/>
        <v>-0.02</v>
      </c>
      <c r="Q287">
        <v>1</v>
      </c>
      <c r="R287">
        <f t="shared" si="85"/>
        <v>1.26</v>
      </c>
      <c r="S287">
        <v>140</v>
      </c>
      <c r="T287" t="str">
        <f t="shared" si="86"/>
        <v>131-160</v>
      </c>
      <c r="U287">
        <f t="shared" si="87"/>
        <v>0.2</v>
      </c>
      <c r="V287">
        <v>0</v>
      </c>
      <c r="W287">
        <f t="shared" si="88"/>
        <v>-0.64</v>
      </c>
      <c r="X287">
        <v>4.4000000000000004</v>
      </c>
      <c r="Y287" t="str">
        <f t="shared" si="89"/>
        <v>4+</v>
      </c>
      <c r="Z287">
        <f t="shared" si="90"/>
        <v>1.55</v>
      </c>
      <c r="AA287">
        <v>2</v>
      </c>
      <c r="AB287">
        <f t="shared" si="91"/>
        <v>0.45</v>
      </c>
      <c r="AC287">
        <v>3</v>
      </c>
      <c r="AD287">
        <f t="shared" si="92"/>
        <v>1.9</v>
      </c>
      <c r="AE287">
        <v>2</v>
      </c>
      <c r="AF287">
        <f t="shared" si="93"/>
        <v>0.86</v>
      </c>
      <c r="AG287">
        <v>1</v>
      </c>
      <c r="AH287" t="str">
        <f t="shared" si="94"/>
        <v>Yes</v>
      </c>
    </row>
    <row r="288" spans="1:34">
      <c r="A288">
        <v>287</v>
      </c>
      <c r="B288">
        <v>58</v>
      </c>
      <c r="C288" t="str">
        <f t="shared" si="76"/>
        <v>57-66</v>
      </c>
      <c r="D288">
        <f t="shared" si="77"/>
        <v>0.64</v>
      </c>
      <c r="E288">
        <v>0</v>
      </c>
      <c r="F288">
        <f t="shared" si="78"/>
        <v>-0.89</v>
      </c>
      <c r="G288">
        <v>3</v>
      </c>
      <c r="H288">
        <f t="shared" si="79"/>
        <v>1.1599999999999999</v>
      </c>
      <c r="I288">
        <v>170</v>
      </c>
      <c r="J288" s="2" t="str">
        <f t="shared" si="80"/>
        <v>151-180</v>
      </c>
      <c r="K288" s="2">
        <f t="shared" si="81"/>
        <v>0.56999999999999995</v>
      </c>
      <c r="L288">
        <v>225</v>
      </c>
      <c r="M288" t="str">
        <f t="shared" si="82"/>
        <v>201-250</v>
      </c>
      <c r="N288">
        <f t="shared" si="83"/>
        <v>0.17</v>
      </c>
      <c r="O288">
        <v>1</v>
      </c>
      <c r="P288">
        <f t="shared" si="84"/>
        <v>0.12</v>
      </c>
      <c r="Q288">
        <v>2</v>
      </c>
      <c r="R288">
        <f t="shared" si="85"/>
        <v>0.33</v>
      </c>
      <c r="S288">
        <v>146</v>
      </c>
      <c r="T288" t="str">
        <f t="shared" si="86"/>
        <v>131-160</v>
      </c>
      <c r="U288">
        <f t="shared" si="87"/>
        <v>0.2</v>
      </c>
      <c r="V288">
        <v>1</v>
      </c>
      <c r="W288">
        <f t="shared" si="88"/>
        <v>1.36</v>
      </c>
      <c r="X288">
        <v>2.8</v>
      </c>
      <c r="Y288" t="str">
        <f t="shared" si="89"/>
        <v>1.6-2.8</v>
      </c>
      <c r="Z288">
        <f t="shared" si="90"/>
        <v>0.99</v>
      </c>
      <c r="AA288">
        <v>1</v>
      </c>
      <c r="AB288">
        <f t="shared" si="91"/>
        <v>0.78</v>
      </c>
      <c r="AC288">
        <v>2</v>
      </c>
      <c r="AD288">
        <f t="shared" si="92"/>
        <v>1.65</v>
      </c>
      <c r="AE288">
        <v>2</v>
      </c>
      <c r="AF288">
        <f t="shared" si="93"/>
        <v>0.86</v>
      </c>
      <c r="AG288">
        <v>1</v>
      </c>
      <c r="AH288" t="str">
        <f t="shared" si="94"/>
        <v>Yes</v>
      </c>
    </row>
    <row r="289" spans="1:34">
      <c r="A289">
        <v>288</v>
      </c>
      <c r="B289">
        <v>58</v>
      </c>
      <c r="C289" t="str">
        <f t="shared" si="76"/>
        <v>57-66</v>
      </c>
      <c r="D289">
        <f t="shared" si="77"/>
        <v>0.64</v>
      </c>
      <c r="E289">
        <v>1</v>
      </c>
      <c r="F289">
        <f t="shared" si="78"/>
        <v>0.38</v>
      </c>
      <c r="G289">
        <v>1</v>
      </c>
      <c r="H289">
        <f t="shared" si="79"/>
        <v>-1.35</v>
      </c>
      <c r="I289">
        <v>125</v>
      </c>
      <c r="J289" s="2" t="str">
        <f t="shared" si="80"/>
        <v>121-150</v>
      </c>
      <c r="K289" s="2">
        <f t="shared" si="81"/>
        <v>0.04</v>
      </c>
      <c r="L289">
        <v>220</v>
      </c>
      <c r="M289" t="str">
        <f t="shared" si="82"/>
        <v>201-250</v>
      </c>
      <c r="N289">
        <f t="shared" si="83"/>
        <v>0.17</v>
      </c>
      <c r="O289">
        <v>0</v>
      </c>
      <c r="P289">
        <f t="shared" si="84"/>
        <v>-0.02</v>
      </c>
      <c r="Q289">
        <v>0</v>
      </c>
      <c r="R289">
        <f t="shared" si="85"/>
        <v>-0.36</v>
      </c>
      <c r="S289">
        <v>144</v>
      </c>
      <c r="T289" t="str">
        <f t="shared" si="86"/>
        <v>131-160</v>
      </c>
      <c r="U289">
        <f t="shared" si="87"/>
        <v>0.2</v>
      </c>
      <c r="V289">
        <v>0</v>
      </c>
      <c r="W289">
        <f t="shared" si="88"/>
        <v>-0.64</v>
      </c>
      <c r="X289">
        <v>0.4</v>
      </c>
      <c r="Y289" t="str">
        <f t="shared" si="89"/>
        <v>0.1-1.5</v>
      </c>
      <c r="Z289">
        <f t="shared" si="90"/>
        <v>-0.48</v>
      </c>
      <c r="AA289">
        <v>1</v>
      </c>
      <c r="AB289">
        <f t="shared" si="91"/>
        <v>0.78</v>
      </c>
      <c r="AC289">
        <v>0</v>
      </c>
      <c r="AD289">
        <f t="shared" si="92"/>
        <v>-0.87</v>
      </c>
      <c r="AE289">
        <v>3</v>
      </c>
      <c r="AF289">
        <f t="shared" si="93"/>
        <v>1.32</v>
      </c>
      <c r="AG289">
        <v>0</v>
      </c>
      <c r="AH289" t="str">
        <f t="shared" si="94"/>
        <v>No</v>
      </c>
    </row>
    <row r="290" spans="1:34">
      <c r="A290">
        <v>289</v>
      </c>
      <c r="B290">
        <v>56</v>
      </c>
      <c r="C290" t="str">
        <f t="shared" si="76"/>
        <v>47-56</v>
      </c>
      <c r="D290">
        <f t="shared" si="77"/>
        <v>-0.28000000000000003</v>
      </c>
      <c r="E290">
        <v>1</v>
      </c>
      <c r="F290">
        <f t="shared" si="78"/>
        <v>0.38</v>
      </c>
      <c r="G290">
        <v>1</v>
      </c>
      <c r="H290">
        <f t="shared" si="79"/>
        <v>-1.35</v>
      </c>
      <c r="I290">
        <v>130</v>
      </c>
      <c r="J290" s="2" t="str">
        <f t="shared" si="80"/>
        <v>121-150</v>
      </c>
      <c r="K290" s="2">
        <f t="shared" si="81"/>
        <v>0.04</v>
      </c>
      <c r="L290">
        <v>221</v>
      </c>
      <c r="M290" t="str">
        <f t="shared" si="82"/>
        <v>201-250</v>
      </c>
      <c r="N290">
        <f t="shared" si="83"/>
        <v>0.17</v>
      </c>
      <c r="O290">
        <v>0</v>
      </c>
      <c r="P290">
        <f t="shared" si="84"/>
        <v>-0.02</v>
      </c>
      <c r="Q290">
        <v>2</v>
      </c>
      <c r="R290">
        <f t="shared" si="85"/>
        <v>0.33</v>
      </c>
      <c r="S290">
        <v>163</v>
      </c>
      <c r="T290" t="str">
        <f t="shared" si="86"/>
        <v>161-190</v>
      </c>
      <c r="U290">
        <f t="shared" si="87"/>
        <v>-1.01</v>
      </c>
      <c r="V290">
        <v>0</v>
      </c>
      <c r="W290">
        <f t="shared" si="88"/>
        <v>-0.64</v>
      </c>
      <c r="X290">
        <v>0</v>
      </c>
      <c r="Y290" t="str">
        <f t="shared" si="89"/>
        <v>0.1-1.5</v>
      </c>
      <c r="Z290">
        <f t="shared" si="90"/>
        <v>-0.48</v>
      </c>
      <c r="AA290">
        <v>0</v>
      </c>
      <c r="AB290">
        <f t="shared" si="91"/>
        <v>-0.91</v>
      </c>
      <c r="AC290">
        <v>0</v>
      </c>
      <c r="AD290">
        <f t="shared" si="92"/>
        <v>-0.87</v>
      </c>
      <c r="AE290">
        <v>3</v>
      </c>
      <c r="AF290">
        <f t="shared" si="93"/>
        <v>1.32</v>
      </c>
      <c r="AG290">
        <v>0</v>
      </c>
      <c r="AH290" t="str">
        <f t="shared" si="94"/>
        <v>No</v>
      </c>
    </row>
    <row r="291" spans="1:34">
      <c r="A291">
        <v>290</v>
      </c>
      <c r="B291">
        <v>56</v>
      </c>
      <c r="C291" t="str">
        <f t="shared" si="76"/>
        <v>47-56</v>
      </c>
      <c r="D291">
        <f t="shared" si="77"/>
        <v>-0.28000000000000003</v>
      </c>
      <c r="E291">
        <v>1</v>
      </c>
      <c r="F291">
        <f t="shared" si="78"/>
        <v>0.38</v>
      </c>
      <c r="G291">
        <v>1</v>
      </c>
      <c r="H291">
        <f t="shared" si="79"/>
        <v>-1.35</v>
      </c>
      <c r="I291">
        <v>120</v>
      </c>
      <c r="J291" s="2" t="str">
        <f t="shared" si="80"/>
        <v>94-120</v>
      </c>
      <c r="K291" s="2">
        <f t="shared" si="81"/>
        <v>-0.32</v>
      </c>
      <c r="L291">
        <v>240</v>
      </c>
      <c r="M291" t="str">
        <f t="shared" si="82"/>
        <v>201-250</v>
      </c>
      <c r="N291">
        <f t="shared" si="83"/>
        <v>0.17</v>
      </c>
      <c r="O291">
        <v>0</v>
      </c>
      <c r="P291">
        <f t="shared" si="84"/>
        <v>-0.02</v>
      </c>
      <c r="Q291">
        <v>0</v>
      </c>
      <c r="R291">
        <f t="shared" si="85"/>
        <v>-0.36</v>
      </c>
      <c r="S291">
        <v>169</v>
      </c>
      <c r="T291" t="str">
        <f t="shared" si="86"/>
        <v>161-190</v>
      </c>
      <c r="U291">
        <f t="shared" si="87"/>
        <v>-1.01</v>
      </c>
      <c r="V291">
        <v>0</v>
      </c>
      <c r="W291">
        <f t="shared" si="88"/>
        <v>-0.64</v>
      </c>
      <c r="X291">
        <v>0</v>
      </c>
      <c r="Y291" t="str">
        <f t="shared" si="89"/>
        <v>0.1-1.5</v>
      </c>
      <c r="Z291">
        <f t="shared" si="90"/>
        <v>-0.48</v>
      </c>
      <c r="AA291">
        <v>2</v>
      </c>
      <c r="AB291">
        <f t="shared" si="91"/>
        <v>0.45</v>
      </c>
      <c r="AC291">
        <v>0</v>
      </c>
      <c r="AD291">
        <f t="shared" si="92"/>
        <v>-0.87</v>
      </c>
      <c r="AE291">
        <v>1</v>
      </c>
      <c r="AF291">
        <f t="shared" si="93"/>
        <v>-1.06</v>
      </c>
      <c r="AG291">
        <v>0</v>
      </c>
      <c r="AH291" t="str">
        <f t="shared" si="94"/>
        <v>No</v>
      </c>
    </row>
    <row r="292" spans="1:34">
      <c r="A292">
        <v>291</v>
      </c>
      <c r="B292">
        <v>67</v>
      </c>
      <c r="C292" t="str">
        <f t="shared" si="76"/>
        <v>66+</v>
      </c>
      <c r="D292">
        <f t="shared" si="77"/>
        <v>0.17</v>
      </c>
      <c r="E292">
        <v>1</v>
      </c>
      <c r="F292">
        <f t="shared" si="78"/>
        <v>0.38</v>
      </c>
      <c r="G292">
        <v>2</v>
      </c>
      <c r="H292">
        <f t="shared" si="79"/>
        <v>-1.1599999999999999</v>
      </c>
      <c r="I292">
        <v>152</v>
      </c>
      <c r="J292" s="2" t="str">
        <f t="shared" si="80"/>
        <v>151-180</v>
      </c>
      <c r="K292" s="2">
        <f t="shared" si="81"/>
        <v>0.56999999999999995</v>
      </c>
      <c r="L292">
        <v>212</v>
      </c>
      <c r="M292" t="str">
        <f t="shared" si="82"/>
        <v>201-250</v>
      </c>
      <c r="N292">
        <f t="shared" si="83"/>
        <v>0.17</v>
      </c>
      <c r="O292">
        <v>0</v>
      </c>
      <c r="P292">
        <f t="shared" si="84"/>
        <v>-0.02</v>
      </c>
      <c r="Q292">
        <v>2</v>
      </c>
      <c r="R292">
        <f t="shared" si="85"/>
        <v>0.33</v>
      </c>
      <c r="S292">
        <v>150</v>
      </c>
      <c r="T292" t="str">
        <f t="shared" si="86"/>
        <v>131-160</v>
      </c>
      <c r="U292">
        <f t="shared" si="87"/>
        <v>0.2</v>
      </c>
      <c r="V292">
        <v>0</v>
      </c>
      <c r="W292">
        <f t="shared" si="88"/>
        <v>-0.64</v>
      </c>
      <c r="X292">
        <v>0.8</v>
      </c>
      <c r="Y292" t="str">
        <f t="shared" si="89"/>
        <v>0.1-1.5</v>
      </c>
      <c r="Z292">
        <f t="shared" si="90"/>
        <v>-0.48</v>
      </c>
      <c r="AA292">
        <v>1</v>
      </c>
      <c r="AB292">
        <f t="shared" si="91"/>
        <v>0.78</v>
      </c>
      <c r="AC292">
        <v>0</v>
      </c>
      <c r="AD292">
        <f t="shared" si="92"/>
        <v>-0.87</v>
      </c>
      <c r="AE292">
        <v>3</v>
      </c>
      <c r="AF292">
        <f t="shared" si="93"/>
        <v>1.32</v>
      </c>
      <c r="AG292">
        <v>1</v>
      </c>
      <c r="AH292" t="str">
        <f t="shared" si="94"/>
        <v>Yes</v>
      </c>
    </row>
    <row r="293" spans="1:34">
      <c r="A293">
        <v>292</v>
      </c>
      <c r="B293">
        <v>55</v>
      </c>
      <c r="C293" t="str">
        <f t="shared" si="76"/>
        <v>47-56</v>
      </c>
      <c r="D293">
        <f t="shared" si="77"/>
        <v>-0.28000000000000003</v>
      </c>
      <c r="E293">
        <v>0</v>
      </c>
      <c r="F293">
        <f t="shared" si="78"/>
        <v>-0.89</v>
      </c>
      <c r="G293">
        <v>1</v>
      </c>
      <c r="H293">
        <f t="shared" si="79"/>
        <v>-1.35</v>
      </c>
      <c r="I293">
        <v>132</v>
      </c>
      <c r="J293" s="2" t="str">
        <f t="shared" si="80"/>
        <v>121-150</v>
      </c>
      <c r="K293" s="2">
        <f t="shared" si="81"/>
        <v>0.04</v>
      </c>
      <c r="L293">
        <v>342</v>
      </c>
      <c r="M293" t="str">
        <f t="shared" si="82"/>
        <v>351-400</v>
      </c>
      <c r="N293">
        <f t="shared" si="83"/>
        <v>0.17</v>
      </c>
      <c r="O293">
        <v>0</v>
      </c>
      <c r="P293">
        <f t="shared" si="84"/>
        <v>-0.02</v>
      </c>
      <c r="Q293">
        <v>0</v>
      </c>
      <c r="R293">
        <f t="shared" si="85"/>
        <v>-0.36</v>
      </c>
      <c r="S293">
        <v>166</v>
      </c>
      <c r="T293" t="str">
        <f t="shared" si="86"/>
        <v>161-190</v>
      </c>
      <c r="U293">
        <f t="shared" si="87"/>
        <v>-1.01</v>
      </c>
      <c r="V293">
        <v>0</v>
      </c>
      <c r="W293">
        <f t="shared" si="88"/>
        <v>-0.64</v>
      </c>
      <c r="X293">
        <v>1.2</v>
      </c>
      <c r="Y293" t="str">
        <f t="shared" si="89"/>
        <v>0.1-1.5</v>
      </c>
      <c r="Z293">
        <f t="shared" si="90"/>
        <v>-0.48</v>
      </c>
      <c r="AA293">
        <v>0</v>
      </c>
      <c r="AB293">
        <f t="shared" si="91"/>
        <v>-0.91</v>
      </c>
      <c r="AC293">
        <v>0</v>
      </c>
      <c r="AD293">
        <f t="shared" si="92"/>
        <v>-0.87</v>
      </c>
      <c r="AE293">
        <v>1</v>
      </c>
      <c r="AF293">
        <f t="shared" si="93"/>
        <v>-1.06</v>
      </c>
      <c r="AG293">
        <v>0</v>
      </c>
      <c r="AH293" t="str">
        <f t="shared" si="94"/>
        <v>No</v>
      </c>
    </row>
    <row r="294" spans="1:34">
      <c r="A294">
        <v>293</v>
      </c>
      <c r="B294">
        <v>44</v>
      </c>
      <c r="C294" t="str">
        <f t="shared" si="76"/>
        <v>37-46</v>
      </c>
      <c r="D294">
        <f t="shared" si="77"/>
        <v>-0.83</v>
      </c>
      <c r="E294">
        <v>1</v>
      </c>
      <c r="F294">
        <f t="shared" si="78"/>
        <v>0.38</v>
      </c>
      <c r="G294">
        <v>3</v>
      </c>
      <c r="H294">
        <f t="shared" si="79"/>
        <v>1.1599999999999999</v>
      </c>
      <c r="I294">
        <v>120</v>
      </c>
      <c r="J294" s="2" t="str">
        <f t="shared" si="80"/>
        <v>94-120</v>
      </c>
      <c r="K294" s="2">
        <f t="shared" si="81"/>
        <v>-0.32</v>
      </c>
      <c r="L294">
        <v>169</v>
      </c>
      <c r="M294" t="str">
        <f t="shared" si="82"/>
        <v>126-200</v>
      </c>
      <c r="N294">
        <f t="shared" si="83"/>
        <v>-0.16</v>
      </c>
      <c r="O294">
        <v>0</v>
      </c>
      <c r="P294">
        <f t="shared" si="84"/>
        <v>-0.02</v>
      </c>
      <c r="Q294">
        <v>0</v>
      </c>
      <c r="R294">
        <f t="shared" si="85"/>
        <v>-0.36</v>
      </c>
      <c r="S294">
        <v>144</v>
      </c>
      <c r="T294" t="str">
        <f t="shared" si="86"/>
        <v>131-160</v>
      </c>
      <c r="U294">
        <f t="shared" si="87"/>
        <v>0.2</v>
      </c>
      <c r="V294">
        <v>1</v>
      </c>
      <c r="W294">
        <f t="shared" si="88"/>
        <v>1.36</v>
      </c>
      <c r="X294">
        <v>2.8</v>
      </c>
      <c r="Y294" t="str">
        <f t="shared" si="89"/>
        <v>1.6-2.8</v>
      </c>
      <c r="Z294">
        <f t="shared" si="90"/>
        <v>0.99</v>
      </c>
      <c r="AA294">
        <v>2</v>
      </c>
      <c r="AB294">
        <f t="shared" si="91"/>
        <v>0.45</v>
      </c>
      <c r="AC294">
        <v>0</v>
      </c>
      <c r="AD294">
        <f t="shared" si="92"/>
        <v>-0.87</v>
      </c>
      <c r="AE294">
        <v>2</v>
      </c>
      <c r="AF294">
        <f t="shared" si="93"/>
        <v>0.86</v>
      </c>
      <c r="AG294">
        <v>1</v>
      </c>
      <c r="AH294" t="str">
        <f t="shared" si="94"/>
        <v>Yes</v>
      </c>
    </row>
    <row r="295" spans="1:34">
      <c r="A295">
        <v>294</v>
      </c>
      <c r="B295">
        <v>63</v>
      </c>
      <c r="C295" t="str">
        <f t="shared" si="76"/>
        <v>57-66</v>
      </c>
      <c r="D295">
        <f t="shared" si="77"/>
        <v>0.64</v>
      </c>
      <c r="E295">
        <v>1</v>
      </c>
      <c r="F295">
        <f t="shared" si="78"/>
        <v>0.38</v>
      </c>
      <c r="G295">
        <v>3</v>
      </c>
      <c r="H295">
        <f t="shared" si="79"/>
        <v>1.1599999999999999</v>
      </c>
      <c r="I295">
        <v>140</v>
      </c>
      <c r="J295" s="2" t="str">
        <f t="shared" si="80"/>
        <v>121-150</v>
      </c>
      <c r="K295" s="2">
        <f t="shared" si="81"/>
        <v>0.04</v>
      </c>
      <c r="L295">
        <v>187</v>
      </c>
      <c r="M295" t="str">
        <f t="shared" si="82"/>
        <v>126-200</v>
      </c>
      <c r="N295">
        <f t="shared" si="83"/>
        <v>-0.16</v>
      </c>
      <c r="O295">
        <v>0</v>
      </c>
      <c r="P295">
        <f t="shared" si="84"/>
        <v>-0.02</v>
      </c>
      <c r="Q295">
        <v>2</v>
      </c>
      <c r="R295">
        <f t="shared" si="85"/>
        <v>0.33</v>
      </c>
      <c r="S295">
        <v>144</v>
      </c>
      <c r="T295" t="str">
        <f t="shared" si="86"/>
        <v>131-160</v>
      </c>
      <c r="U295">
        <f t="shared" si="87"/>
        <v>0.2</v>
      </c>
      <c r="V295">
        <v>1</v>
      </c>
      <c r="W295">
        <f t="shared" si="88"/>
        <v>1.36</v>
      </c>
      <c r="X295">
        <v>4</v>
      </c>
      <c r="Y295" t="str">
        <f t="shared" si="89"/>
        <v>2.9-4</v>
      </c>
      <c r="Z295">
        <f t="shared" si="90"/>
        <v>2.42</v>
      </c>
      <c r="AA295">
        <v>0</v>
      </c>
      <c r="AB295">
        <f t="shared" si="91"/>
        <v>-0.91</v>
      </c>
      <c r="AC295">
        <v>2</v>
      </c>
      <c r="AD295">
        <f t="shared" si="92"/>
        <v>1.65</v>
      </c>
      <c r="AE295">
        <v>3</v>
      </c>
      <c r="AF295">
        <f t="shared" si="93"/>
        <v>1.32</v>
      </c>
      <c r="AG295">
        <v>1</v>
      </c>
      <c r="AH295" t="str">
        <f t="shared" si="94"/>
        <v>Yes</v>
      </c>
    </row>
    <row r="296" spans="1:34">
      <c r="A296">
        <v>295</v>
      </c>
      <c r="B296">
        <v>63</v>
      </c>
      <c r="C296" t="str">
        <f t="shared" si="76"/>
        <v>57-66</v>
      </c>
      <c r="D296">
        <f t="shared" si="77"/>
        <v>0.64</v>
      </c>
      <c r="E296">
        <v>0</v>
      </c>
      <c r="F296">
        <f t="shared" si="78"/>
        <v>-0.89</v>
      </c>
      <c r="G296">
        <v>3</v>
      </c>
      <c r="H296">
        <f t="shared" si="79"/>
        <v>1.1599999999999999</v>
      </c>
      <c r="I296">
        <v>124</v>
      </c>
      <c r="J296" s="2" t="str">
        <f t="shared" si="80"/>
        <v>121-150</v>
      </c>
      <c r="K296" s="2">
        <f t="shared" si="81"/>
        <v>0.04</v>
      </c>
      <c r="L296">
        <v>197</v>
      </c>
      <c r="M296" t="str">
        <f t="shared" si="82"/>
        <v>126-200</v>
      </c>
      <c r="N296">
        <f t="shared" si="83"/>
        <v>-0.16</v>
      </c>
      <c r="O296">
        <v>0</v>
      </c>
      <c r="P296">
        <f t="shared" si="84"/>
        <v>-0.02</v>
      </c>
      <c r="Q296">
        <v>0</v>
      </c>
      <c r="R296">
        <f t="shared" si="85"/>
        <v>-0.36</v>
      </c>
      <c r="S296">
        <v>136</v>
      </c>
      <c r="T296" t="str">
        <f t="shared" si="86"/>
        <v>131-160</v>
      </c>
      <c r="U296">
        <f t="shared" si="87"/>
        <v>0.2</v>
      </c>
      <c r="V296">
        <v>1</v>
      </c>
      <c r="W296">
        <f t="shared" si="88"/>
        <v>1.36</v>
      </c>
      <c r="X296">
        <v>0</v>
      </c>
      <c r="Y296" t="str">
        <f t="shared" si="89"/>
        <v>0.1-1.5</v>
      </c>
      <c r="Z296">
        <f t="shared" si="90"/>
        <v>-0.48</v>
      </c>
      <c r="AA296">
        <v>1</v>
      </c>
      <c r="AB296">
        <f t="shared" si="91"/>
        <v>0.78</v>
      </c>
      <c r="AC296">
        <v>0</v>
      </c>
      <c r="AD296">
        <f t="shared" si="92"/>
        <v>-0.87</v>
      </c>
      <c r="AE296">
        <v>1</v>
      </c>
      <c r="AF296">
        <f t="shared" si="93"/>
        <v>-1.06</v>
      </c>
      <c r="AG296">
        <v>1</v>
      </c>
      <c r="AH296" t="str">
        <f t="shared" si="94"/>
        <v>Yes</v>
      </c>
    </row>
    <row r="297" spans="1:34">
      <c r="A297">
        <v>296</v>
      </c>
      <c r="B297">
        <v>41</v>
      </c>
      <c r="C297" t="str">
        <f t="shared" si="76"/>
        <v>37-46</v>
      </c>
      <c r="D297">
        <f t="shared" si="77"/>
        <v>-0.83</v>
      </c>
      <c r="E297">
        <v>1</v>
      </c>
      <c r="F297">
        <f t="shared" si="78"/>
        <v>0.38</v>
      </c>
      <c r="G297">
        <v>1</v>
      </c>
      <c r="H297">
        <f t="shared" si="79"/>
        <v>-1.35</v>
      </c>
      <c r="I297">
        <v>120</v>
      </c>
      <c r="J297" s="2" t="str">
        <f t="shared" si="80"/>
        <v>94-120</v>
      </c>
      <c r="K297" s="2">
        <f t="shared" si="81"/>
        <v>-0.32</v>
      </c>
      <c r="L297">
        <v>157</v>
      </c>
      <c r="M297" t="str">
        <f t="shared" si="82"/>
        <v>126-200</v>
      </c>
      <c r="N297">
        <f t="shared" si="83"/>
        <v>-0.16</v>
      </c>
      <c r="O297">
        <v>0</v>
      </c>
      <c r="P297">
        <f t="shared" si="84"/>
        <v>-0.02</v>
      </c>
      <c r="Q297">
        <v>0</v>
      </c>
      <c r="R297">
        <f t="shared" si="85"/>
        <v>-0.36</v>
      </c>
      <c r="S297">
        <v>182</v>
      </c>
      <c r="T297" t="str">
        <f t="shared" si="86"/>
        <v>161-190</v>
      </c>
      <c r="U297">
        <f t="shared" si="87"/>
        <v>-1.01</v>
      </c>
      <c r="V297">
        <v>0</v>
      </c>
      <c r="W297">
        <f t="shared" si="88"/>
        <v>-0.64</v>
      </c>
      <c r="X297">
        <v>0</v>
      </c>
      <c r="Y297" t="str">
        <f t="shared" si="89"/>
        <v>0.1-1.5</v>
      </c>
      <c r="Z297">
        <f t="shared" si="90"/>
        <v>-0.48</v>
      </c>
      <c r="AA297">
        <v>0</v>
      </c>
      <c r="AB297">
        <f t="shared" si="91"/>
        <v>-0.91</v>
      </c>
      <c r="AC297">
        <v>0</v>
      </c>
      <c r="AD297">
        <f t="shared" si="92"/>
        <v>-0.87</v>
      </c>
      <c r="AE297">
        <v>1</v>
      </c>
      <c r="AF297">
        <f t="shared" si="93"/>
        <v>-1.06</v>
      </c>
      <c r="AG297">
        <v>0</v>
      </c>
      <c r="AH297" t="str">
        <f t="shared" si="94"/>
        <v>No</v>
      </c>
    </row>
    <row r="298" spans="1:34">
      <c r="A298">
        <v>297</v>
      </c>
      <c r="B298">
        <v>59</v>
      </c>
      <c r="C298" t="str">
        <f t="shared" si="76"/>
        <v>57-66</v>
      </c>
      <c r="D298">
        <f t="shared" si="77"/>
        <v>0.64</v>
      </c>
      <c r="E298">
        <v>1</v>
      </c>
      <c r="F298">
        <f t="shared" si="78"/>
        <v>0.38</v>
      </c>
      <c r="G298">
        <v>3</v>
      </c>
      <c r="H298">
        <f t="shared" si="79"/>
        <v>1.1599999999999999</v>
      </c>
      <c r="I298">
        <v>164</v>
      </c>
      <c r="J298" s="2" t="str">
        <f t="shared" si="80"/>
        <v>151-180</v>
      </c>
      <c r="K298" s="2">
        <f t="shared" si="81"/>
        <v>0.56999999999999995</v>
      </c>
      <c r="L298">
        <v>176</v>
      </c>
      <c r="M298" t="str">
        <f t="shared" si="82"/>
        <v>126-200</v>
      </c>
      <c r="N298">
        <f t="shared" si="83"/>
        <v>-0.16</v>
      </c>
      <c r="O298">
        <v>1</v>
      </c>
      <c r="P298">
        <f t="shared" si="84"/>
        <v>0.12</v>
      </c>
      <c r="Q298">
        <v>2</v>
      </c>
      <c r="R298">
        <f t="shared" si="85"/>
        <v>0.33</v>
      </c>
      <c r="S298">
        <v>90</v>
      </c>
      <c r="T298" t="str">
        <f t="shared" si="86"/>
        <v>71-100</v>
      </c>
      <c r="U298">
        <f t="shared" si="87"/>
        <v>2.11</v>
      </c>
      <c r="V298">
        <v>0</v>
      </c>
      <c r="W298">
        <f t="shared" si="88"/>
        <v>-0.64</v>
      </c>
      <c r="X298">
        <v>1</v>
      </c>
      <c r="Y298" t="str">
        <f t="shared" si="89"/>
        <v>0.1-1.5</v>
      </c>
      <c r="Z298">
        <f t="shared" si="90"/>
        <v>-0.48</v>
      </c>
      <c r="AA298">
        <v>1</v>
      </c>
      <c r="AB298">
        <f t="shared" si="91"/>
        <v>0.78</v>
      </c>
      <c r="AC298">
        <v>2</v>
      </c>
      <c r="AD298">
        <f t="shared" si="92"/>
        <v>1.65</v>
      </c>
      <c r="AE298">
        <v>2</v>
      </c>
      <c r="AF298">
        <f t="shared" si="93"/>
        <v>0.86</v>
      </c>
      <c r="AG298">
        <v>1</v>
      </c>
      <c r="AH298" t="str">
        <f t="shared" si="94"/>
        <v>Yes</v>
      </c>
    </row>
    <row r="299" spans="1:34">
      <c r="A299">
        <v>298</v>
      </c>
      <c r="B299">
        <v>57</v>
      </c>
      <c r="C299" t="str">
        <f t="shared" si="76"/>
        <v>57-66</v>
      </c>
      <c r="D299">
        <f t="shared" si="77"/>
        <v>0.64</v>
      </c>
      <c r="E299">
        <v>0</v>
      </c>
      <c r="F299">
        <f t="shared" si="78"/>
        <v>-0.89</v>
      </c>
      <c r="G299">
        <v>3</v>
      </c>
      <c r="H299">
        <f t="shared" si="79"/>
        <v>1.1599999999999999</v>
      </c>
      <c r="I299">
        <v>140</v>
      </c>
      <c r="J299" s="2" t="str">
        <f t="shared" si="80"/>
        <v>121-150</v>
      </c>
      <c r="K299" s="2">
        <f t="shared" si="81"/>
        <v>0.04</v>
      </c>
      <c r="L299">
        <v>241</v>
      </c>
      <c r="M299" t="str">
        <f t="shared" si="82"/>
        <v>201-250</v>
      </c>
      <c r="N299">
        <f t="shared" si="83"/>
        <v>0.17</v>
      </c>
      <c r="O299">
        <v>0</v>
      </c>
      <c r="P299">
        <f t="shared" si="84"/>
        <v>-0.02</v>
      </c>
      <c r="Q299">
        <v>0</v>
      </c>
      <c r="R299">
        <f t="shared" si="85"/>
        <v>-0.36</v>
      </c>
      <c r="S299">
        <v>123</v>
      </c>
      <c r="T299" t="str">
        <f t="shared" si="86"/>
        <v>101-130</v>
      </c>
      <c r="U299">
        <f t="shared" si="87"/>
        <v>1.1499999999999999</v>
      </c>
      <c r="V299">
        <v>1</v>
      </c>
      <c r="W299">
        <f t="shared" si="88"/>
        <v>1.36</v>
      </c>
      <c r="X299">
        <v>0.2</v>
      </c>
      <c r="Y299" t="str">
        <f t="shared" si="89"/>
        <v>0.1-1.5</v>
      </c>
      <c r="Z299">
        <f t="shared" si="90"/>
        <v>-0.48</v>
      </c>
      <c r="AA299">
        <v>1</v>
      </c>
      <c r="AB299">
        <f t="shared" si="91"/>
        <v>0.78</v>
      </c>
      <c r="AC299">
        <v>0</v>
      </c>
      <c r="AD299">
        <f t="shared" si="92"/>
        <v>-0.87</v>
      </c>
      <c r="AE299">
        <v>3</v>
      </c>
      <c r="AF299">
        <f t="shared" si="93"/>
        <v>1.32</v>
      </c>
      <c r="AG299">
        <v>1</v>
      </c>
      <c r="AH299" t="str">
        <f t="shared" si="94"/>
        <v>Yes</v>
      </c>
    </row>
    <row r="300" spans="1:34">
      <c r="A300">
        <v>299</v>
      </c>
      <c r="B300">
        <v>45</v>
      </c>
      <c r="C300" t="str">
        <f t="shared" si="76"/>
        <v>37-46</v>
      </c>
      <c r="D300">
        <f t="shared" si="77"/>
        <v>-0.83</v>
      </c>
      <c r="E300">
        <v>1</v>
      </c>
      <c r="F300">
        <f t="shared" si="78"/>
        <v>0.38</v>
      </c>
      <c r="G300">
        <v>0</v>
      </c>
      <c r="H300">
        <f t="shared" si="79"/>
        <v>-0.66</v>
      </c>
      <c r="I300">
        <v>110</v>
      </c>
      <c r="J300" s="2" t="str">
        <f t="shared" si="80"/>
        <v>94-120</v>
      </c>
      <c r="K300" s="2">
        <f t="shared" si="81"/>
        <v>-0.32</v>
      </c>
      <c r="L300">
        <v>264</v>
      </c>
      <c r="M300" t="str">
        <f t="shared" si="82"/>
        <v>251-300</v>
      </c>
      <c r="N300">
        <f t="shared" si="83"/>
        <v>0.48</v>
      </c>
      <c r="O300">
        <v>0</v>
      </c>
      <c r="P300">
        <f t="shared" si="84"/>
        <v>-0.02</v>
      </c>
      <c r="Q300">
        <v>0</v>
      </c>
      <c r="R300">
        <f t="shared" si="85"/>
        <v>-0.36</v>
      </c>
      <c r="S300">
        <v>132</v>
      </c>
      <c r="T300" t="str">
        <f t="shared" si="86"/>
        <v>131-160</v>
      </c>
      <c r="U300">
        <f t="shared" si="87"/>
        <v>0.2</v>
      </c>
      <c r="V300">
        <v>0</v>
      </c>
      <c r="W300">
        <f t="shared" si="88"/>
        <v>-0.64</v>
      </c>
      <c r="X300">
        <v>1.2</v>
      </c>
      <c r="Y300" t="str">
        <f t="shared" si="89"/>
        <v>0.1-1.5</v>
      </c>
      <c r="Z300">
        <f t="shared" si="90"/>
        <v>-0.48</v>
      </c>
      <c r="AA300">
        <v>1</v>
      </c>
      <c r="AB300">
        <f t="shared" si="91"/>
        <v>0.78</v>
      </c>
      <c r="AC300">
        <v>0</v>
      </c>
      <c r="AD300">
        <f t="shared" si="92"/>
        <v>-0.87</v>
      </c>
      <c r="AE300">
        <v>3</v>
      </c>
      <c r="AF300">
        <f t="shared" si="93"/>
        <v>1.32</v>
      </c>
      <c r="AG300">
        <v>1</v>
      </c>
      <c r="AH300" t="str">
        <f t="shared" si="94"/>
        <v>Yes</v>
      </c>
    </row>
    <row r="301" spans="1:34">
      <c r="A301">
        <v>300</v>
      </c>
      <c r="B301">
        <v>68</v>
      </c>
      <c r="C301" t="str">
        <f t="shared" si="76"/>
        <v>66+</v>
      </c>
      <c r="D301">
        <f t="shared" si="77"/>
        <v>0.17</v>
      </c>
      <c r="E301">
        <v>1</v>
      </c>
      <c r="F301">
        <f t="shared" si="78"/>
        <v>0.38</v>
      </c>
      <c r="G301">
        <v>3</v>
      </c>
      <c r="H301">
        <f t="shared" si="79"/>
        <v>1.1599999999999999</v>
      </c>
      <c r="I301">
        <v>144</v>
      </c>
      <c r="J301" s="2" t="str">
        <f t="shared" si="80"/>
        <v>121-150</v>
      </c>
      <c r="K301" s="2">
        <f t="shared" si="81"/>
        <v>0.04</v>
      </c>
      <c r="L301">
        <v>193</v>
      </c>
      <c r="M301" t="str">
        <f t="shared" si="82"/>
        <v>126-200</v>
      </c>
      <c r="N301">
        <f t="shared" si="83"/>
        <v>-0.16</v>
      </c>
      <c r="O301">
        <v>1</v>
      </c>
      <c r="P301">
        <f t="shared" si="84"/>
        <v>0.12</v>
      </c>
      <c r="Q301">
        <v>0</v>
      </c>
      <c r="R301">
        <f t="shared" si="85"/>
        <v>-0.36</v>
      </c>
      <c r="S301">
        <v>141</v>
      </c>
      <c r="T301" t="str">
        <f t="shared" si="86"/>
        <v>131-160</v>
      </c>
      <c r="U301">
        <f t="shared" si="87"/>
        <v>0.2</v>
      </c>
      <c r="V301">
        <v>0</v>
      </c>
      <c r="W301">
        <f t="shared" si="88"/>
        <v>-0.64</v>
      </c>
      <c r="X301">
        <v>3.4</v>
      </c>
      <c r="Y301" t="str">
        <f t="shared" si="89"/>
        <v>2.9-4</v>
      </c>
      <c r="Z301">
        <f t="shared" si="90"/>
        <v>2.42</v>
      </c>
      <c r="AA301">
        <v>1</v>
      </c>
      <c r="AB301">
        <f t="shared" si="91"/>
        <v>0.78</v>
      </c>
      <c r="AC301">
        <v>2</v>
      </c>
      <c r="AD301">
        <f t="shared" si="92"/>
        <v>1.65</v>
      </c>
      <c r="AE301">
        <v>3</v>
      </c>
      <c r="AF301">
        <f t="shared" si="93"/>
        <v>1.32</v>
      </c>
      <c r="AG301">
        <v>1</v>
      </c>
      <c r="AH301" t="str">
        <f t="shared" si="94"/>
        <v>Yes</v>
      </c>
    </row>
    <row r="302" spans="1:34">
      <c r="A302">
        <v>301</v>
      </c>
      <c r="B302">
        <v>57</v>
      </c>
      <c r="C302" t="str">
        <f t="shared" si="76"/>
        <v>57-66</v>
      </c>
      <c r="D302">
        <f t="shared" si="77"/>
        <v>0.64</v>
      </c>
      <c r="E302">
        <v>1</v>
      </c>
      <c r="F302">
        <f t="shared" si="78"/>
        <v>0.38</v>
      </c>
      <c r="G302">
        <v>3</v>
      </c>
      <c r="H302">
        <f t="shared" si="79"/>
        <v>1.1599999999999999</v>
      </c>
      <c r="I302">
        <v>130</v>
      </c>
      <c r="J302" s="2" t="str">
        <f t="shared" si="80"/>
        <v>121-150</v>
      </c>
      <c r="K302" s="2">
        <f t="shared" si="81"/>
        <v>0.04</v>
      </c>
      <c r="L302">
        <v>131</v>
      </c>
      <c r="M302" t="str">
        <f t="shared" si="82"/>
        <v>126-200</v>
      </c>
      <c r="N302">
        <f t="shared" si="83"/>
        <v>-0.16</v>
      </c>
      <c r="O302">
        <v>0</v>
      </c>
      <c r="P302">
        <f t="shared" si="84"/>
        <v>-0.02</v>
      </c>
      <c r="Q302">
        <v>0</v>
      </c>
      <c r="R302">
        <f t="shared" si="85"/>
        <v>-0.36</v>
      </c>
      <c r="S302">
        <v>115</v>
      </c>
      <c r="T302" t="str">
        <f t="shared" si="86"/>
        <v>101-130</v>
      </c>
      <c r="U302">
        <f t="shared" si="87"/>
        <v>1.1499999999999999</v>
      </c>
      <c r="V302">
        <v>1</v>
      </c>
      <c r="W302">
        <f t="shared" si="88"/>
        <v>1.36</v>
      </c>
      <c r="X302">
        <v>1.2</v>
      </c>
      <c r="Y302" t="str">
        <f t="shared" si="89"/>
        <v>0.1-1.5</v>
      </c>
      <c r="Z302">
        <f t="shared" si="90"/>
        <v>-0.48</v>
      </c>
      <c r="AA302">
        <v>1</v>
      </c>
      <c r="AB302">
        <f t="shared" si="91"/>
        <v>0.78</v>
      </c>
      <c r="AC302">
        <v>1</v>
      </c>
      <c r="AD302">
        <f t="shared" si="92"/>
        <v>0.91</v>
      </c>
      <c r="AE302">
        <v>3</v>
      </c>
      <c r="AF302">
        <f t="shared" si="93"/>
        <v>1.32</v>
      </c>
      <c r="AG302">
        <v>1</v>
      </c>
      <c r="AH302" t="str">
        <f t="shared" si="94"/>
        <v>Yes</v>
      </c>
    </row>
    <row r="303" spans="1:34">
      <c r="A303">
        <v>302</v>
      </c>
      <c r="B303">
        <v>57</v>
      </c>
      <c r="C303" t="str">
        <f t="shared" si="76"/>
        <v>57-66</v>
      </c>
      <c r="D303">
        <f t="shared" si="77"/>
        <v>0.64</v>
      </c>
      <c r="E303">
        <v>0</v>
      </c>
      <c r="F303">
        <f t="shared" si="78"/>
        <v>-0.89</v>
      </c>
      <c r="G303">
        <v>1</v>
      </c>
      <c r="H303">
        <f t="shared" si="79"/>
        <v>-1.35</v>
      </c>
      <c r="I303">
        <v>130</v>
      </c>
      <c r="J303" s="2" t="str">
        <f t="shared" si="80"/>
        <v>121-150</v>
      </c>
      <c r="K303" s="2">
        <f t="shared" si="81"/>
        <v>0.04</v>
      </c>
      <c r="L303">
        <v>236</v>
      </c>
      <c r="M303" t="str">
        <f t="shared" si="82"/>
        <v>201-250</v>
      </c>
      <c r="N303">
        <f t="shared" si="83"/>
        <v>0.17</v>
      </c>
      <c r="O303">
        <v>0</v>
      </c>
      <c r="P303">
        <f t="shared" si="84"/>
        <v>-0.02</v>
      </c>
      <c r="Q303">
        <v>2</v>
      </c>
      <c r="R303">
        <f t="shared" si="85"/>
        <v>0.33</v>
      </c>
      <c r="S303">
        <v>174</v>
      </c>
      <c r="T303" t="str">
        <f t="shared" si="86"/>
        <v>161-190</v>
      </c>
      <c r="U303">
        <f t="shared" si="87"/>
        <v>-1.01</v>
      </c>
      <c r="V303">
        <v>0</v>
      </c>
      <c r="W303">
        <f t="shared" si="88"/>
        <v>-0.64</v>
      </c>
      <c r="X303">
        <v>0</v>
      </c>
      <c r="Y303" t="str">
        <f t="shared" si="89"/>
        <v>0.1-1.5</v>
      </c>
      <c r="Z303">
        <f t="shared" si="90"/>
        <v>-0.48</v>
      </c>
      <c r="AA303">
        <v>1</v>
      </c>
      <c r="AB303">
        <f t="shared" si="91"/>
        <v>0.78</v>
      </c>
      <c r="AC303">
        <v>1</v>
      </c>
      <c r="AD303">
        <f t="shared" si="92"/>
        <v>0.91</v>
      </c>
      <c r="AE303">
        <v>1</v>
      </c>
      <c r="AF303">
        <f t="shared" si="93"/>
        <v>-1.06</v>
      </c>
      <c r="AG303">
        <v>1</v>
      </c>
      <c r="AH303" t="str">
        <f t="shared" si="94"/>
        <v>Yes</v>
      </c>
    </row>
    <row r="304" spans="1:34">
      <c r="A304">
        <v>303</v>
      </c>
      <c r="B304">
        <v>38</v>
      </c>
      <c r="C304" t="str">
        <f t="shared" si="76"/>
        <v>37-46</v>
      </c>
      <c r="D304">
        <f t="shared" si="77"/>
        <v>-0.83</v>
      </c>
      <c r="E304">
        <v>1</v>
      </c>
      <c r="F304">
        <f t="shared" si="78"/>
        <v>0.38</v>
      </c>
      <c r="G304">
        <v>2</v>
      </c>
      <c r="H304">
        <f t="shared" si="79"/>
        <v>-1.1599999999999999</v>
      </c>
      <c r="I304">
        <v>138</v>
      </c>
      <c r="J304" s="2" t="str">
        <f t="shared" si="80"/>
        <v>121-150</v>
      </c>
      <c r="K304" s="2">
        <f t="shared" si="81"/>
        <v>0.04</v>
      </c>
      <c r="L304">
        <v>175</v>
      </c>
      <c r="M304" t="str">
        <f t="shared" si="82"/>
        <v>126-200</v>
      </c>
      <c r="N304">
        <f t="shared" si="83"/>
        <v>-0.16</v>
      </c>
      <c r="O304">
        <v>0</v>
      </c>
      <c r="P304">
        <f t="shared" si="84"/>
        <v>-0.02</v>
      </c>
      <c r="Q304">
        <v>0</v>
      </c>
      <c r="R304">
        <f t="shared" si="85"/>
        <v>-0.36</v>
      </c>
      <c r="S304">
        <v>173</v>
      </c>
      <c r="T304" t="str">
        <f t="shared" si="86"/>
        <v>161-190</v>
      </c>
      <c r="U304">
        <f t="shared" si="87"/>
        <v>-1.01</v>
      </c>
      <c r="V304">
        <v>0</v>
      </c>
      <c r="W304">
        <f t="shared" si="88"/>
        <v>-0.64</v>
      </c>
      <c r="X304">
        <v>0</v>
      </c>
      <c r="Y304" t="str">
        <f t="shared" si="89"/>
        <v>0.1-1.5</v>
      </c>
      <c r="Z304">
        <f t="shared" si="90"/>
        <v>-0.48</v>
      </c>
      <c r="AA304">
        <v>0</v>
      </c>
      <c r="AB304">
        <f t="shared" si="91"/>
        <v>-0.91</v>
      </c>
      <c r="AC304">
        <v>0</v>
      </c>
      <c r="AD304">
        <f t="shared" si="92"/>
        <v>-0.87</v>
      </c>
      <c r="AE304">
        <v>1</v>
      </c>
      <c r="AF304">
        <f t="shared" si="93"/>
        <v>-1.06</v>
      </c>
      <c r="AG304">
        <v>0</v>
      </c>
      <c r="AH304" t="str">
        <f t="shared" si="94"/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04"/>
  <sheetViews>
    <sheetView zoomScale="90" zoomScaleNormal="90" workbookViewId="0">
      <selection activeCell="H110" sqref="H110"/>
    </sheetView>
  </sheetViews>
  <sheetFormatPr defaultRowHeight="14.4"/>
  <cols>
    <col min="1" max="1" width="19.109375" bestFit="1" customWidth="1"/>
    <col min="2" max="2" width="15.88671875" bestFit="1" customWidth="1"/>
    <col min="3" max="3" width="4.44140625" bestFit="1" customWidth="1"/>
    <col min="4" max="4" width="11" bestFit="1" customWidth="1"/>
    <col min="5" max="5" width="10.6640625" customWidth="1"/>
    <col min="6" max="6" width="19" bestFit="1" customWidth="1"/>
    <col min="7" max="7" width="23.33203125" bestFit="1" customWidth="1"/>
    <col min="8" max="8" width="22.88671875" bestFit="1" customWidth="1"/>
    <col min="9" max="9" width="16.5546875" customWidth="1"/>
    <col min="10" max="10" width="9.44140625" customWidth="1"/>
  </cols>
  <sheetData>
    <row r="2" spans="1:9">
      <c r="A2" s="5" t="s">
        <v>24</v>
      </c>
      <c r="B2" s="5" t="s">
        <v>23</v>
      </c>
    </row>
    <row r="3" spans="1:9">
      <c r="A3" s="5" t="s">
        <v>19</v>
      </c>
      <c r="B3">
        <v>0</v>
      </c>
      <c r="C3">
        <v>1</v>
      </c>
      <c r="D3" t="s">
        <v>22</v>
      </c>
      <c r="F3" t="s">
        <v>25</v>
      </c>
      <c r="G3" t="s">
        <v>26</v>
      </c>
      <c r="H3" t="s">
        <v>28</v>
      </c>
      <c r="I3" t="s">
        <v>27</v>
      </c>
    </row>
    <row r="4" spans="1:9">
      <c r="A4" s="3" t="s">
        <v>20</v>
      </c>
      <c r="B4" s="4">
        <v>5</v>
      </c>
      <c r="C4" s="4">
        <v>2</v>
      </c>
      <c r="D4" s="4">
        <v>7</v>
      </c>
      <c r="F4" s="6">
        <f>C4/$C$9</f>
        <v>1.4388489208633094E-2</v>
      </c>
      <c r="G4" s="6">
        <f>B4/$B$9</f>
        <v>3.048780487804878E-2</v>
      </c>
      <c r="H4" s="6">
        <f>LN(F4/G4)</f>
        <v>-0.75089823718064841</v>
      </c>
      <c r="I4" s="6">
        <f>H4*(F4-G4)</f>
        <v>1.2088947755979029E-2</v>
      </c>
    </row>
    <row r="5" spans="1:9">
      <c r="A5" s="3" t="s">
        <v>59</v>
      </c>
      <c r="B5" s="4">
        <v>46</v>
      </c>
      <c r="C5" s="4">
        <v>17</v>
      </c>
      <c r="D5" s="4">
        <v>63</v>
      </c>
      <c r="F5" s="6">
        <f>C5/$C$9</f>
        <v>0.1223021582733813</v>
      </c>
      <c r="G5" s="6">
        <f>B5/$B$9</f>
        <v>0.28048780487804881</v>
      </c>
      <c r="H5" s="6">
        <f>LN(F5/G5)</f>
        <v>-0.83003555773937243</v>
      </c>
      <c r="I5" s="6">
        <f>H5*(F5-G5)</f>
        <v>0.13129971140586846</v>
      </c>
    </row>
    <row r="6" spans="1:9">
      <c r="A6" s="3" t="s">
        <v>60</v>
      </c>
      <c r="B6" s="4">
        <v>56</v>
      </c>
      <c r="C6" s="4">
        <v>36</v>
      </c>
      <c r="D6" s="4">
        <v>92</v>
      </c>
      <c r="F6" s="6">
        <f>C6/$C$9</f>
        <v>0.25899280575539568</v>
      </c>
      <c r="G6" s="6">
        <f>B6/$B$9</f>
        <v>0.34146341463414637</v>
      </c>
      <c r="H6" s="6">
        <f>LN(F6/G6)</f>
        <v>-0.2764402575855327</v>
      </c>
      <c r="I6" s="6">
        <f>H6*(F6-G6)</f>
        <v>2.2798196361677559E-2</v>
      </c>
    </row>
    <row r="7" spans="1:9">
      <c r="A7" s="3" t="s">
        <v>61</v>
      </c>
      <c r="B7" s="4">
        <v>44</v>
      </c>
      <c r="C7" s="4">
        <v>71</v>
      </c>
      <c r="D7" s="4">
        <v>115</v>
      </c>
      <c r="F7" s="6">
        <f>C7/$C$9</f>
        <v>0.51079136690647486</v>
      </c>
      <c r="G7" s="6">
        <f>B7/$B$9</f>
        <v>0.26829268292682928</v>
      </c>
      <c r="H7" s="6">
        <f>LN(F7/G7)</f>
        <v>0.64388273781656091</v>
      </c>
      <c r="I7" s="6">
        <f>H7*(F7-G7)</f>
        <v>0.15614071655772718</v>
      </c>
    </row>
    <row r="8" spans="1:9">
      <c r="A8" s="3" t="s">
        <v>21</v>
      </c>
      <c r="B8" s="4">
        <v>13</v>
      </c>
      <c r="C8" s="4">
        <v>13</v>
      </c>
      <c r="D8" s="4">
        <v>26</v>
      </c>
      <c r="F8" s="6">
        <f>C8/$C$9</f>
        <v>9.3525179856115109E-2</v>
      </c>
      <c r="G8" s="6">
        <f>B8/$B$9</f>
        <v>7.926829268292683E-2</v>
      </c>
      <c r="H8" s="6">
        <f>LN(F8/G8)</f>
        <v>0.16539249469350667</v>
      </c>
      <c r="I8" s="6">
        <f>H8*(F8-G8)</f>
        <v>2.3579821361374657E-3</v>
      </c>
    </row>
    <row r="9" spans="1:9">
      <c r="A9" s="3" t="s">
        <v>22</v>
      </c>
      <c r="B9" s="4">
        <v>164</v>
      </c>
      <c r="C9" s="4">
        <v>139</v>
      </c>
      <c r="D9" s="4">
        <v>303</v>
      </c>
    </row>
    <row r="10" spans="1:9">
      <c r="H10" t="s">
        <v>29</v>
      </c>
      <c r="I10" s="7">
        <f>SUM(I4:I8)</f>
        <v>0.3246855542173897</v>
      </c>
    </row>
    <row r="19" spans="1:9">
      <c r="A19" s="5" t="s">
        <v>30</v>
      </c>
      <c r="B19" s="5" t="s">
        <v>23</v>
      </c>
    </row>
    <row r="20" spans="1:9">
      <c r="A20" s="5" t="s">
        <v>19</v>
      </c>
      <c r="B20">
        <v>0</v>
      </c>
      <c r="C20">
        <v>1</v>
      </c>
      <c r="D20" t="s">
        <v>22</v>
      </c>
      <c r="F20" t="s">
        <v>25</v>
      </c>
      <c r="G20" t="s">
        <v>26</v>
      </c>
      <c r="H20" t="s">
        <v>28</v>
      </c>
      <c r="I20" t="s">
        <v>27</v>
      </c>
    </row>
    <row r="21" spans="1:9">
      <c r="A21" s="3">
        <v>0</v>
      </c>
      <c r="B21" s="4">
        <v>72</v>
      </c>
      <c r="C21" s="4">
        <v>25</v>
      </c>
      <c r="D21" s="4">
        <v>97</v>
      </c>
      <c r="F21" s="6">
        <f>C21/$C$9</f>
        <v>0.17985611510791366</v>
      </c>
      <c r="G21" s="6">
        <f>B21/$B$9</f>
        <v>0.43902439024390244</v>
      </c>
      <c r="H21" s="6">
        <f>LN(F21/G21)</f>
        <v>-0.89239779945434794</v>
      </c>
      <c r="I21" s="6">
        <f>H21*(F21-G21)</f>
        <v>0.23128119841973538</v>
      </c>
    </row>
    <row r="22" spans="1:9">
      <c r="A22" s="3">
        <v>1</v>
      </c>
      <c r="B22" s="4">
        <v>92</v>
      </c>
      <c r="C22" s="4">
        <v>114</v>
      </c>
      <c r="D22" s="4">
        <v>206</v>
      </c>
      <c r="F22" s="6">
        <f>C22/$C$9</f>
        <v>0.82014388489208634</v>
      </c>
      <c r="G22" s="6">
        <f>B22/$B$9</f>
        <v>0.56097560975609762</v>
      </c>
      <c r="H22" s="6">
        <f>LN(F22/G22)</f>
        <v>0.37980236603896173</v>
      </c>
      <c r="I22" s="6">
        <f>H22*(F22-G22)</f>
        <v>9.8432724098885135E-2</v>
      </c>
    </row>
    <row r="23" spans="1:9">
      <c r="A23" s="3" t="s">
        <v>22</v>
      </c>
      <c r="B23" s="4">
        <v>164</v>
      </c>
      <c r="C23" s="4">
        <v>139</v>
      </c>
      <c r="D23" s="4">
        <v>303</v>
      </c>
    </row>
    <row r="24" spans="1:9">
      <c r="H24" t="s">
        <v>29</v>
      </c>
      <c r="I24" s="7">
        <f>SUM(I21:I22)</f>
        <v>0.32971392251862053</v>
      </c>
    </row>
    <row r="38" spans="1:9">
      <c r="A38" s="5" t="s">
        <v>31</v>
      </c>
      <c r="B38" s="5" t="s">
        <v>23</v>
      </c>
    </row>
    <row r="39" spans="1:9">
      <c r="A39" s="5" t="s">
        <v>19</v>
      </c>
      <c r="B39">
        <v>0</v>
      </c>
      <c r="C39">
        <v>1</v>
      </c>
      <c r="D39" t="s">
        <v>22</v>
      </c>
      <c r="F39" t="s">
        <v>25</v>
      </c>
      <c r="G39" t="s">
        <v>26</v>
      </c>
      <c r="H39" t="s">
        <v>28</v>
      </c>
      <c r="I39" t="s">
        <v>27</v>
      </c>
    </row>
    <row r="40" spans="1:9">
      <c r="A40" s="3">
        <v>0</v>
      </c>
      <c r="B40" s="4">
        <v>16</v>
      </c>
      <c r="C40" s="4">
        <v>7</v>
      </c>
      <c r="D40" s="4">
        <v>23</v>
      </c>
      <c r="F40" s="6">
        <f>C40/$C$9</f>
        <v>5.0359712230215826E-2</v>
      </c>
      <c r="G40" s="6">
        <f>B40/$B$9</f>
        <v>9.7560975609756101E-2</v>
      </c>
      <c r="H40" s="6">
        <f>LN(F40/G40)</f>
        <v>-0.66128607849096122</v>
      </c>
      <c r="I40" s="6">
        <f>H40*(F40-G40)</f>
        <v>3.1213538360075205E-2</v>
      </c>
    </row>
    <row r="41" spans="1:9">
      <c r="A41" s="3">
        <v>1</v>
      </c>
      <c r="B41" s="4">
        <v>41</v>
      </c>
      <c r="C41" s="4">
        <v>9</v>
      </c>
      <c r="D41" s="4">
        <v>50</v>
      </c>
      <c r="F41" s="6">
        <f>C41/$C$9</f>
        <v>6.4748201438848921E-2</v>
      </c>
      <c r="G41" s="6">
        <f>B41/$B$9</f>
        <v>0.25</v>
      </c>
      <c r="H41" s="6">
        <f>LN(F41/G41)</f>
        <v>-1.3509549946745818</v>
      </c>
      <c r="I41" s="6">
        <f>H41*(F41-G41)</f>
        <v>0.25026684253863657</v>
      </c>
    </row>
    <row r="42" spans="1:9">
      <c r="A42" s="3">
        <v>2</v>
      </c>
      <c r="B42" s="4">
        <v>68</v>
      </c>
      <c r="C42" s="4">
        <v>18</v>
      </c>
      <c r="D42" s="4">
        <v>86</v>
      </c>
      <c r="F42" s="6">
        <f>C42/$C$9</f>
        <v>0.12949640287769784</v>
      </c>
      <c r="G42" s="6">
        <f>B42/$B$9</f>
        <v>0.41463414634146339</v>
      </c>
      <c r="H42" s="6">
        <f>LN(F42/G42)</f>
        <v>-1.1637434525864352</v>
      </c>
      <c r="I42" s="6">
        <f>H42*(F42-G42)</f>
        <v>0.33182718204122774</v>
      </c>
    </row>
    <row r="43" spans="1:9">
      <c r="A43" s="3">
        <v>3</v>
      </c>
      <c r="B43" s="4">
        <v>39</v>
      </c>
      <c r="C43" s="4">
        <v>105</v>
      </c>
      <c r="D43" s="4">
        <v>144</v>
      </c>
      <c r="F43" s="6">
        <f>C43/$C$9</f>
        <v>0.75539568345323738</v>
      </c>
      <c r="G43" s="6">
        <f>B43/$B$9</f>
        <v>0.23780487804878048</v>
      </c>
      <c r="H43" s="6">
        <f>LN(F43/G43)</f>
        <v>1.1557911987213836</v>
      </c>
      <c r="I43" s="6">
        <f>H43*(F43-G43)</f>
        <v>0.59822689742558366</v>
      </c>
    </row>
    <row r="44" spans="1:9">
      <c r="A44" s="3" t="s">
        <v>22</v>
      </c>
      <c r="B44" s="4">
        <v>164</v>
      </c>
      <c r="C44" s="4">
        <v>139</v>
      </c>
      <c r="D44" s="4">
        <v>303</v>
      </c>
    </row>
    <row r="45" spans="1:9">
      <c r="H45" t="s">
        <v>29</v>
      </c>
      <c r="I45" s="8">
        <f>SUM(I40:I43)</f>
        <v>1.2115344603655231</v>
      </c>
    </row>
    <row r="54" spans="1:9">
      <c r="A54" s="5" t="s">
        <v>36</v>
      </c>
      <c r="B54" s="5" t="s">
        <v>23</v>
      </c>
    </row>
    <row r="55" spans="1:9">
      <c r="A55" s="5" t="s">
        <v>19</v>
      </c>
      <c r="B55">
        <v>0</v>
      </c>
      <c r="C55">
        <v>1</v>
      </c>
      <c r="D55" t="s">
        <v>22</v>
      </c>
      <c r="F55" t="s">
        <v>25</v>
      </c>
      <c r="G55" t="s">
        <v>26</v>
      </c>
      <c r="H55" t="s">
        <v>28</v>
      </c>
      <c r="I55" t="s">
        <v>27</v>
      </c>
    </row>
    <row r="56" spans="1:9">
      <c r="A56" s="3" t="s">
        <v>32</v>
      </c>
      <c r="B56" s="4">
        <v>91</v>
      </c>
      <c r="C56" s="4">
        <v>80</v>
      </c>
      <c r="D56" s="4">
        <v>171</v>
      </c>
      <c r="F56" s="6">
        <f>C56/$C$9</f>
        <v>0.57553956834532372</v>
      </c>
      <c r="G56" s="6">
        <f>B56/$B$9</f>
        <v>0.55487804878048785</v>
      </c>
      <c r="H56" s="6">
        <f>LN(F56/G56)</f>
        <v>3.6559622850538022E-2</v>
      </c>
      <c r="I56" s="6">
        <f>H56*(F56-G56)</f>
        <v>7.5537736280941153E-4</v>
      </c>
    </row>
    <row r="57" spans="1:9">
      <c r="A57" s="3" t="s">
        <v>33</v>
      </c>
      <c r="B57" s="4">
        <v>12</v>
      </c>
      <c r="C57" s="4">
        <v>18</v>
      </c>
      <c r="D57" s="4">
        <v>30</v>
      </c>
      <c r="F57" s="6">
        <f>C57/$C$9</f>
        <v>0.12949640287769784</v>
      </c>
      <c r="G57" s="6">
        <f>B57/$B$9</f>
        <v>7.3170731707317069E-2</v>
      </c>
      <c r="H57" s="6">
        <f>LN(F57/G57)</f>
        <v>0.57085760280167108</v>
      </c>
      <c r="I57" s="6">
        <f>H57*(F57-G57)</f>
        <v>3.2153937620518762E-2</v>
      </c>
    </row>
    <row r="58" spans="1:9">
      <c r="A58" s="3" t="s">
        <v>34</v>
      </c>
      <c r="B58" s="4">
        <v>60</v>
      </c>
      <c r="C58" s="4">
        <v>37</v>
      </c>
      <c r="D58" s="4">
        <v>97</v>
      </c>
      <c r="F58" s="6">
        <f>C58/$C$9</f>
        <v>0.26618705035971224</v>
      </c>
      <c r="G58" s="6">
        <f>B58/$B$9</f>
        <v>0.36585365853658536</v>
      </c>
      <c r="H58" s="6">
        <f>LN(F58/G58)</f>
        <v>-0.31803415488436959</v>
      </c>
      <c r="I58" s="6">
        <f>H58*(F58-G58)</f>
        <v>3.1697385501723442E-2</v>
      </c>
    </row>
    <row r="59" spans="1:9">
      <c r="A59" s="3" t="s">
        <v>35</v>
      </c>
      <c r="B59" s="4">
        <v>1</v>
      </c>
      <c r="C59" s="4">
        <v>4</v>
      </c>
      <c r="D59" s="4">
        <v>5</v>
      </c>
      <c r="F59" s="6">
        <f>C59/$C$9</f>
        <v>2.8776978417266189E-2</v>
      </c>
      <c r="G59" s="6">
        <f>B59/$B$9</f>
        <v>6.0975609756097563E-3</v>
      </c>
      <c r="H59" s="6">
        <f>LN(F59/G59)</f>
        <v>1.5516868558133974</v>
      </c>
      <c r="I59" s="6">
        <f>H59*(F59-G59)</f>
        <v>3.5191353941723395E-2</v>
      </c>
    </row>
    <row r="60" spans="1:9">
      <c r="A60" s="3" t="s">
        <v>22</v>
      </c>
      <c r="B60" s="4">
        <v>164</v>
      </c>
      <c r="C60" s="4">
        <v>139</v>
      </c>
      <c r="D60" s="4">
        <v>303</v>
      </c>
    </row>
    <row r="61" spans="1:9">
      <c r="H61" t="s">
        <v>29</v>
      </c>
      <c r="I61" s="9">
        <f>SUM(I56:I59)</f>
        <v>9.9798054426775001E-2</v>
      </c>
    </row>
    <row r="69" spans="1:9">
      <c r="A69" s="5" t="s">
        <v>42</v>
      </c>
      <c r="B69" s="5" t="s">
        <v>23</v>
      </c>
    </row>
    <row r="70" spans="1:9">
      <c r="A70" s="5" t="s">
        <v>19</v>
      </c>
      <c r="B70">
        <v>0</v>
      </c>
      <c r="C70">
        <v>1</v>
      </c>
      <c r="D70" t="s">
        <v>22</v>
      </c>
      <c r="F70" t="s">
        <v>25</v>
      </c>
      <c r="G70" t="s">
        <v>26</v>
      </c>
      <c r="H70" t="s">
        <v>28</v>
      </c>
      <c r="I70" t="s">
        <v>27</v>
      </c>
    </row>
    <row r="71" spans="1:9">
      <c r="A71" s="3" t="s">
        <v>37</v>
      </c>
      <c r="B71" s="4">
        <v>29</v>
      </c>
      <c r="C71" s="4">
        <v>21</v>
      </c>
      <c r="D71" s="4">
        <v>50</v>
      </c>
      <c r="F71" s="6">
        <f>C71/$C$9</f>
        <v>0.15107913669064749</v>
      </c>
      <c r="G71" s="6">
        <f>B71/$B$9</f>
        <v>0.17682926829268292</v>
      </c>
      <c r="H71" s="6">
        <f>LN(F71/G71)</f>
        <v>-0.15738089756954429</v>
      </c>
      <c r="I71" s="6">
        <f>H71*(F71-G71)</f>
        <v>4.0525788240622232E-3</v>
      </c>
    </row>
    <row r="72" spans="1:9">
      <c r="A72" s="3" t="s">
        <v>38</v>
      </c>
      <c r="B72" s="4">
        <v>77</v>
      </c>
      <c r="C72" s="4">
        <v>49</v>
      </c>
      <c r="D72" s="4">
        <v>126</v>
      </c>
      <c r="F72" s="6">
        <f t="shared" ref="F72:F75" si="0">C72/$C$9</f>
        <v>0.35251798561151076</v>
      </c>
      <c r="G72" s="6">
        <f t="shared" ref="G72:G74" si="1">B72/$B$9</f>
        <v>0.46951219512195119</v>
      </c>
      <c r="H72" s="6">
        <f t="shared" ref="H72:H75" si="2">LN(F72/G72)</f>
        <v>-0.28659262904955063</v>
      </c>
      <c r="I72" s="6">
        <f t="shared" ref="I72:I75" si="3">H72*(F72-G72)</f>
        <v>3.3529678087171062E-2</v>
      </c>
    </row>
    <row r="73" spans="1:9">
      <c r="A73" s="3" t="s">
        <v>39</v>
      </c>
      <c r="B73" s="4">
        <v>35</v>
      </c>
      <c r="C73" s="4">
        <v>48</v>
      </c>
      <c r="D73" s="4">
        <v>83</v>
      </c>
      <c r="F73" s="6">
        <f t="shared" si="0"/>
        <v>0.34532374100719426</v>
      </c>
      <c r="G73" s="6">
        <f t="shared" si="1"/>
        <v>0.21341463414634146</v>
      </c>
      <c r="H73" s="6">
        <f t="shared" si="2"/>
        <v>0.481245444111984</v>
      </c>
      <c r="I73" s="6">
        <f t="shared" si="3"/>
        <v>6.3480656713666261E-2</v>
      </c>
    </row>
    <row r="74" spans="1:9">
      <c r="A74" s="3" t="s">
        <v>40</v>
      </c>
      <c r="B74" s="4">
        <v>5</v>
      </c>
      <c r="C74" s="4">
        <v>3</v>
      </c>
      <c r="D74" s="4">
        <v>8</v>
      </c>
      <c r="F74" s="6">
        <f t="shared" si="0"/>
        <v>2.1582733812949641E-2</v>
      </c>
      <c r="G74" s="6">
        <f t="shared" si="1"/>
        <v>3.048780487804878E-2</v>
      </c>
      <c r="H74" s="6">
        <f t="shared" si="2"/>
        <v>-0.34543312907248391</v>
      </c>
      <c r="I74" s="6">
        <f t="shared" si="3"/>
        <v>3.0761065626300323E-3</v>
      </c>
    </row>
    <row r="75" spans="1:9">
      <c r="A75" s="3" t="s">
        <v>41</v>
      </c>
      <c r="B75" s="4">
        <v>18</v>
      </c>
      <c r="C75" s="4">
        <v>18</v>
      </c>
      <c r="D75" s="4">
        <v>36</v>
      </c>
      <c r="F75" s="6">
        <f t="shared" si="0"/>
        <v>0.12949640287769784</v>
      </c>
      <c r="G75" s="6">
        <f>B75/$B$9</f>
        <v>0.10975609756097561</v>
      </c>
      <c r="H75" s="6">
        <f t="shared" si="2"/>
        <v>0.16539249469350667</v>
      </c>
      <c r="I75" s="6">
        <f t="shared" si="3"/>
        <v>3.264898342344183E-3</v>
      </c>
    </row>
    <row r="76" spans="1:9">
      <c r="A76" s="3" t="s">
        <v>22</v>
      </c>
      <c r="B76" s="4">
        <v>164</v>
      </c>
      <c r="C76" s="4">
        <v>139</v>
      </c>
      <c r="D76" s="4">
        <v>303</v>
      </c>
    </row>
    <row r="77" spans="1:9">
      <c r="H77" t="s">
        <v>29</v>
      </c>
      <c r="I77" s="7">
        <f>SUM(I71:I75)</f>
        <v>0.10740391852987377</v>
      </c>
    </row>
    <row r="86" spans="1:9">
      <c r="A86" s="5" t="s">
        <v>43</v>
      </c>
      <c r="B86" s="5" t="s">
        <v>23</v>
      </c>
    </row>
    <row r="87" spans="1:9">
      <c r="A87" s="5" t="s">
        <v>19</v>
      </c>
      <c r="B87">
        <v>0</v>
      </c>
      <c r="C87">
        <v>1</v>
      </c>
      <c r="D87" t="s">
        <v>22</v>
      </c>
      <c r="F87" t="s">
        <v>25</v>
      </c>
      <c r="G87" t="s">
        <v>26</v>
      </c>
      <c r="H87" t="s">
        <v>28</v>
      </c>
      <c r="I87" t="s">
        <v>27</v>
      </c>
    </row>
    <row r="88" spans="1:9">
      <c r="A88" s="3">
        <v>0</v>
      </c>
      <c r="B88" s="4">
        <v>141</v>
      </c>
      <c r="C88" s="4">
        <v>117</v>
      </c>
      <c r="D88" s="4">
        <v>258</v>
      </c>
      <c r="F88" s="6">
        <f>C88/$C$9</f>
        <v>0.84172661870503596</v>
      </c>
      <c r="G88" s="6">
        <f>B88/$B$9</f>
        <v>0.8597560975609756</v>
      </c>
      <c r="H88" s="6">
        <f>LN(F88/G88)</f>
        <v>-2.1193460886905467E-2</v>
      </c>
      <c r="I88" s="6">
        <f>H88*(F88-G88)</f>
        <v>3.8210705494464586E-4</v>
      </c>
    </row>
    <row r="89" spans="1:9">
      <c r="A89" s="3">
        <v>1</v>
      </c>
      <c r="B89" s="4">
        <v>23</v>
      </c>
      <c r="C89" s="4">
        <v>22</v>
      </c>
      <c r="D89" s="4">
        <v>45</v>
      </c>
      <c r="F89" s="6">
        <f>C89/$C$9</f>
        <v>0.15827338129496402</v>
      </c>
      <c r="G89" s="6">
        <f>B89/$B$9</f>
        <v>0.1402439024390244</v>
      </c>
      <c r="H89" s="6">
        <f>LN(F89/G89)</f>
        <v>0.12094073212267266</v>
      </c>
      <c r="I89" s="6">
        <f>H89*(F89-G89)</f>
        <v>2.1804983726275832E-3</v>
      </c>
    </row>
    <row r="90" spans="1:9">
      <c r="A90" s="3" t="s">
        <v>22</v>
      </c>
      <c r="B90" s="4">
        <v>164</v>
      </c>
      <c r="C90" s="4">
        <v>139</v>
      </c>
      <c r="D90" s="4">
        <v>303</v>
      </c>
    </row>
    <row r="91" spans="1:9">
      <c r="H91" t="s">
        <v>29</v>
      </c>
      <c r="I91" s="10">
        <f>SUM(I88:I89)</f>
        <v>2.5626054275722293E-3</v>
      </c>
    </row>
    <row r="97" spans="1:9">
      <c r="A97" s="5" t="s">
        <v>44</v>
      </c>
      <c r="B97" s="5" t="s">
        <v>23</v>
      </c>
    </row>
    <row r="98" spans="1:9">
      <c r="A98" s="5" t="s">
        <v>19</v>
      </c>
      <c r="B98">
        <v>0</v>
      </c>
      <c r="C98">
        <v>1</v>
      </c>
      <c r="D98" t="s">
        <v>22</v>
      </c>
      <c r="F98" t="s">
        <v>25</v>
      </c>
      <c r="G98" t="s">
        <v>26</v>
      </c>
      <c r="H98" t="s">
        <v>28</v>
      </c>
      <c r="I98" t="s">
        <v>27</v>
      </c>
    </row>
    <row r="99" spans="1:9">
      <c r="A99" s="3">
        <v>0</v>
      </c>
      <c r="B99" s="4">
        <v>95</v>
      </c>
      <c r="C99" s="4">
        <v>56</v>
      </c>
      <c r="D99" s="4">
        <v>151</v>
      </c>
      <c r="F99" s="6">
        <f>C99/$C$9</f>
        <v>0.40287769784172661</v>
      </c>
      <c r="G99" s="6">
        <f>B99/$B$9</f>
        <v>0.57926829268292679</v>
      </c>
      <c r="H99" s="6">
        <f>LN(F99/G99)</f>
        <v>-0.36313270617188498</v>
      </c>
      <c r="I99" s="6">
        <f>H99*(F99-G99)</f>
        <v>6.4053194047953552E-2</v>
      </c>
    </row>
    <row r="100" spans="1:9">
      <c r="A100" s="3">
        <v>1</v>
      </c>
      <c r="B100" s="4">
        <v>1</v>
      </c>
      <c r="C100" s="4">
        <v>3</v>
      </c>
      <c r="D100" s="4">
        <v>4</v>
      </c>
      <c r="F100" s="6">
        <f>C100/$C$9</f>
        <v>2.1582733812949641E-2</v>
      </c>
      <c r="G100" s="6">
        <f>B100/$B$9</f>
        <v>6.0975609756097563E-3</v>
      </c>
      <c r="H100" s="6">
        <f>LN(F100/G100)</f>
        <v>1.2640047833616164</v>
      </c>
      <c r="I100" s="6">
        <f>H100*(F100-G100)</f>
        <v>1.9573332537578987E-2</v>
      </c>
    </row>
    <row r="101" spans="1:9">
      <c r="A101" s="3">
        <v>2</v>
      </c>
      <c r="B101" s="4">
        <v>68</v>
      </c>
      <c r="C101" s="4">
        <v>80</v>
      </c>
      <c r="D101" s="4">
        <v>148</v>
      </c>
      <c r="F101" s="6">
        <f>C101/$C$9</f>
        <v>0.57553956834532372</v>
      </c>
      <c r="G101" s="6">
        <f>B101/$B$9</f>
        <v>0.41463414634146339</v>
      </c>
      <c r="H101" s="6">
        <f>LN(F101/G101)</f>
        <v>0.32791142419128155</v>
      </c>
      <c r="I101" s="6">
        <f>H101*(F101-G101)</f>
        <v>5.2762726089385009E-2</v>
      </c>
    </row>
    <row r="102" spans="1:9">
      <c r="A102" s="3" t="s">
        <v>22</v>
      </c>
      <c r="B102" s="4">
        <v>164</v>
      </c>
      <c r="C102" s="4">
        <v>139</v>
      </c>
      <c r="D102" s="4">
        <v>303</v>
      </c>
    </row>
    <row r="103" spans="1:9">
      <c r="H103" t="s">
        <v>29</v>
      </c>
      <c r="I103" s="9">
        <f>SUM(I99:I101)</f>
        <v>0.13638925267491755</v>
      </c>
    </row>
    <row r="114" spans="1:9">
      <c r="A114" s="5" t="s">
        <v>93</v>
      </c>
      <c r="B114" s="5" t="s">
        <v>23</v>
      </c>
    </row>
    <row r="115" spans="1:9">
      <c r="A115" s="5" t="s">
        <v>19</v>
      </c>
      <c r="B115">
        <v>0</v>
      </c>
      <c r="C115">
        <v>1</v>
      </c>
      <c r="D115" t="s">
        <v>22</v>
      </c>
      <c r="F115" t="s">
        <v>25</v>
      </c>
      <c r="G115" t="s">
        <v>26</v>
      </c>
      <c r="H115" t="s">
        <v>28</v>
      </c>
      <c r="I115" t="s">
        <v>27</v>
      </c>
    </row>
    <row r="116" spans="1:9">
      <c r="A116" s="3" t="s">
        <v>45</v>
      </c>
      <c r="B116" s="4">
        <v>15</v>
      </c>
      <c r="C116" s="4">
        <v>40</v>
      </c>
      <c r="D116" s="4">
        <v>55</v>
      </c>
      <c r="F116" s="6">
        <f>C116/$C$9</f>
        <v>0.28776978417266186</v>
      </c>
      <c r="G116" s="6">
        <f>B116/$B$9</f>
        <v>9.1463414634146339E-2</v>
      </c>
      <c r="H116" s="6">
        <f>LN(F116/G116)</f>
        <v>1.146221747705233</v>
      </c>
      <c r="I116" s="6">
        <f>H116*(F116-G116)</f>
        <v>0.22501062997810656</v>
      </c>
    </row>
    <row r="117" spans="1:9">
      <c r="A117" s="3" t="s">
        <v>46</v>
      </c>
      <c r="B117" s="4">
        <v>64</v>
      </c>
      <c r="C117" s="4">
        <v>66</v>
      </c>
      <c r="D117" s="4">
        <v>130</v>
      </c>
      <c r="F117" s="6">
        <f>C117/$C$9</f>
        <v>0.47482014388489208</v>
      </c>
      <c r="G117" s="6">
        <f>B117/$B$9</f>
        <v>0.3902439024390244</v>
      </c>
      <c r="H117" s="6">
        <f>LN(F117/G117)</f>
        <v>0.19616415336026025</v>
      </c>
      <c r="I117" s="6">
        <f>H117*(F117-G117)</f>
        <v>1.6590826797621586E-2</v>
      </c>
    </row>
    <row r="118" spans="1:9">
      <c r="A118" s="3" t="s">
        <v>47</v>
      </c>
      <c r="B118" s="4">
        <v>81</v>
      </c>
      <c r="C118" s="4">
        <v>25</v>
      </c>
      <c r="D118" s="4">
        <v>106</v>
      </c>
      <c r="F118" s="6">
        <f>C118/$C$9</f>
        <v>0.17985611510791366</v>
      </c>
      <c r="G118" s="6">
        <f>B118/$B$9</f>
        <v>0.49390243902439024</v>
      </c>
      <c r="H118" s="6">
        <f>LN(F118/G118)</f>
        <v>-1.0101808351107313</v>
      </c>
      <c r="I118" s="6">
        <f>H118*(F118-G118)</f>
        <v>0.31724357775740153</v>
      </c>
    </row>
    <row r="119" spans="1:9">
      <c r="A119" s="3" t="s">
        <v>48</v>
      </c>
      <c r="B119" s="4">
        <v>3</v>
      </c>
      <c r="C119" s="4">
        <v>1</v>
      </c>
      <c r="D119" s="4">
        <v>4</v>
      </c>
      <c r="F119" s="6">
        <f>C119/$C$9</f>
        <v>7.1942446043165471E-3</v>
      </c>
      <c r="G119" s="6">
        <f>B119/$B$9</f>
        <v>1.8292682926829267E-2</v>
      </c>
      <c r="H119" s="6">
        <f>LN(F119/G119)</f>
        <v>-0.93321979397460286</v>
      </c>
      <c r="I119" s="6">
        <f>H119*(F119-G119)</f>
        <v>1.0357282324775157E-2</v>
      </c>
    </row>
    <row r="120" spans="1:9">
      <c r="A120" s="3" t="s">
        <v>49</v>
      </c>
      <c r="B120" s="4">
        <v>1</v>
      </c>
      <c r="C120" s="4">
        <v>7</v>
      </c>
      <c r="D120" s="4">
        <v>8</v>
      </c>
      <c r="F120" s="6">
        <f>C120/$C$9</f>
        <v>5.0359712230215826E-2</v>
      </c>
      <c r="G120" s="6">
        <f>B120/$B$9</f>
        <v>6.0975609756097563E-3</v>
      </c>
      <c r="H120" s="6">
        <f>LN(F120/G120)</f>
        <v>2.1113026437488198</v>
      </c>
      <c r="I120" s="6">
        <f>H120*(F120-G120)</f>
        <v>9.3450796961859942E-2</v>
      </c>
    </row>
    <row r="121" spans="1:9">
      <c r="A121" s="3" t="s">
        <v>22</v>
      </c>
      <c r="B121" s="4">
        <v>164</v>
      </c>
      <c r="C121" s="4">
        <v>139</v>
      </c>
      <c r="D121" s="4">
        <v>303</v>
      </c>
    </row>
    <row r="122" spans="1:9">
      <c r="H122" t="s">
        <v>29</v>
      </c>
      <c r="I122" s="8">
        <f>SUM(I116:I120)</f>
        <v>0.66265311381976488</v>
      </c>
    </row>
    <row r="132" spans="1:9">
      <c r="A132" s="5" t="s">
        <v>51</v>
      </c>
      <c r="B132" s="5" t="s">
        <v>23</v>
      </c>
    </row>
    <row r="133" spans="1:9">
      <c r="A133" s="5" t="s">
        <v>19</v>
      </c>
      <c r="B133">
        <v>0</v>
      </c>
      <c r="C133">
        <v>1</v>
      </c>
      <c r="D133" t="s">
        <v>22</v>
      </c>
      <c r="F133" t="s">
        <v>25</v>
      </c>
      <c r="G133" t="s">
        <v>26</v>
      </c>
      <c r="H133" t="s">
        <v>28</v>
      </c>
      <c r="I133" t="s">
        <v>27</v>
      </c>
    </row>
    <row r="134" spans="1:9">
      <c r="A134" s="3">
        <v>0</v>
      </c>
      <c r="B134" s="4">
        <v>141</v>
      </c>
      <c r="C134" s="4">
        <v>63</v>
      </c>
      <c r="D134" s="4">
        <v>204</v>
      </c>
      <c r="F134" s="6">
        <f>C134/$C$9</f>
        <v>0.45323741007194246</v>
      </c>
      <c r="G134" s="6">
        <f>B134/$B$9</f>
        <v>0.8597560975609756</v>
      </c>
      <c r="H134" s="6">
        <f>LN(F134/G134)</f>
        <v>-0.64023266929312883</v>
      </c>
      <c r="I134" s="6">
        <f>H134*(F134-G134)</f>
        <v>0.26026654440864294</v>
      </c>
    </row>
    <row r="135" spans="1:9">
      <c r="A135" s="3">
        <v>1</v>
      </c>
      <c r="B135" s="4">
        <v>23</v>
      </c>
      <c r="C135" s="4">
        <v>76</v>
      </c>
      <c r="D135" s="4">
        <v>99</v>
      </c>
      <c r="F135" s="6">
        <f>C135/$C$9</f>
        <v>0.5467625899280576</v>
      </c>
      <c r="G135" s="6">
        <f>B135/$B$9</f>
        <v>0.1402439024390244</v>
      </c>
      <c r="H135" s="6">
        <f>LN(F135/G135)</f>
        <v>1.3606316190506882</v>
      </c>
      <c r="I135" s="6">
        <f>H135*(F135-G135)</f>
        <v>0.55312217993256396</v>
      </c>
    </row>
    <row r="136" spans="1:9">
      <c r="A136" s="3" t="s">
        <v>22</v>
      </c>
      <c r="B136" s="4">
        <v>164</v>
      </c>
      <c r="C136" s="4">
        <v>139</v>
      </c>
      <c r="D136" s="4">
        <v>303</v>
      </c>
      <c r="I136" s="6"/>
    </row>
    <row r="137" spans="1:9">
      <c r="H137" t="s">
        <v>29</v>
      </c>
      <c r="I137" s="8">
        <f>SUM(I134:I135)</f>
        <v>0.8133887243412069</v>
      </c>
    </row>
    <row r="147" spans="1:9">
      <c r="A147" s="5" t="s">
        <v>56</v>
      </c>
      <c r="B147" s="5" t="s">
        <v>23</v>
      </c>
    </row>
    <row r="148" spans="1:9">
      <c r="A148" s="5" t="s">
        <v>19</v>
      </c>
      <c r="B148">
        <v>0</v>
      </c>
      <c r="C148">
        <v>1</v>
      </c>
      <c r="D148" t="s">
        <v>22</v>
      </c>
      <c r="F148" t="s">
        <v>25</v>
      </c>
      <c r="G148" t="s">
        <v>26</v>
      </c>
      <c r="H148" t="s">
        <v>28</v>
      </c>
      <c r="I148" t="s">
        <v>27</v>
      </c>
    </row>
    <row r="149" spans="1:9">
      <c r="A149" s="3" t="s">
        <v>52</v>
      </c>
      <c r="B149" s="4">
        <v>18</v>
      </c>
      <c r="C149" s="4">
        <v>41</v>
      </c>
      <c r="D149" s="4">
        <v>59</v>
      </c>
      <c r="F149" s="6">
        <f>C149/$C$9</f>
        <v>0.29496402877697842</v>
      </c>
      <c r="G149" s="6">
        <f>B149/$B$9</f>
        <v>0.10975609756097561</v>
      </c>
      <c r="H149" s="6">
        <f>LN(F149/G149)</f>
        <v>0.98859280350164969</v>
      </c>
      <c r="I149" s="6">
        <f>H149*(F149-G149)</f>
        <v>0.18309522795156893</v>
      </c>
    </row>
    <row r="150" spans="1:9">
      <c r="A150" s="3" t="s">
        <v>53</v>
      </c>
      <c r="B150" s="4">
        <v>143</v>
      </c>
      <c r="C150" s="4">
        <v>75</v>
      </c>
      <c r="D150" s="4">
        <v>218</v>
      </c>
      <c r="F150" s="6">
        <f t="shared" ref="F150:F152" si="4">C150/$C$9</f>
        <v>0.53956834532374098</v>
      </c>
      <c r="G150" s="6">
        <f t="shared" ref="G150:G152" si="5">B150/$B$9</f>
        <v>0.87195121951219512</v>
      </c>
      <c r="H150" s="6">
        <f t="shared" ref="H150:H152" si="6">LN(F150/G150)</f>
        <v>-0.4799640220300902</v>
      </c>
      <c r="I150" s="6">
        <f t="shared" ref="I150:I152" si="7">H150*(F150-G150)</f>
        <v>0.15953182114941189</v>
      </c>
    </row>
    <row r="151" spans="1:9">
      <c r="A151" s="3" t="s">
        <v>54</v>
      </c>
      <c r="B151" s="4">
        <v>2</v>
      </c>
      <c r="C151" s="4">
        <v>19</v>
      </c>
      <c r="D151" s="4">
        <v>21</v>
      </c>
      <c r="F151" s="6">
        <f t="shared" si="4"/>
        <v>0.1366906474820144</v>
      </c>
      <c r="G151" s="6">
        <f t="shared" si="5"/>
        <v>1.2195121951219513E-2</v>
      </c>
      <c r="H151" s="6">
        <f t="shared" si="6"/>
        <v>2.4166842933000017</v>
      </c>
      <c r="I151" s="6">
        <f t="shared" si="7"/>
        <v>0.30086638113640135</v>
      </c>
    </row>
    <row r="152" spans="1:9">
      <c r="A152" s="3" t="s">
        <v>55</v>
      </c>
      <c r="B152" s="4">
        <v>1</v>
      </c>
      <c r="C152" s="4">
        <v>4</v>
      </c>
      <c r="D152" s="4">
        <v>5</v>
      </c>
      <c r="F152" s="6">
        <f t="shared" si="4"/>
        <v>2.8776978417266189E-2</v>
      </c>
      <c r="G152" s="6">
        <f t="shared" si="5"/>
        <v>6.0975609756097563E-3</v>
      </c>
      <c r="H152" s="6">
        <f t="shared" si="6"/>
        <v>1.5516868558133974</v>
      </c>
      <c r="I152" s="6">
        <f t="shared" si="7"/>
        <v>3.5191353941723395E-2</v>
      </c>
    </row>
    <row r="153" spans="1:9">
      <c r="A153" s="3" t="s">
        <v>22</v>
      </c>
      <c r="B153" s="4">
        <v>164</v>
      </c>
      <c r="C153" s="4">
        <v>139</v>
      </c>
      <c r="D153" s="4">
        <v>303</v>
      </c>
    </row>
    <row r="154" spans="1:9">
      <c r="H154" t="s">
        <v>29</v>
      </c>
      <c r="I154" s="8">
        <f>SUM(I149:I153)</f>
        <v>0.6786847841791056</v>
      </c>
    </row>
    <row r="164" spans="1:9">
      <c r="A164" s="5" t="s">
        <v>57</v>
      </c>
      <c r="B164" s="5" t="s">
        <v>23</v>
      </c>
    </row>
    <row r="165" spans="1:9">
      <c r="A165" s="5" t="s">
        <v>19</v>
      </c>
      <c r="B165">
        <v>0</v>
      </c>
      <c r="C165">
        <v>1</v>
      </c>
      <c r="D165" t="s">
        <v>22</v>
      </c>
      <c r="F165" t="s">
        <v>25</v>
      </c>
      <c r="G165" t="s">
        <v>26</v>
      </c>
      <c r="H165" t="s">
        <v>28</v>
      </c>
      <c r="I165" t="s">
        <v>27</v>
      </c>
    </row>
    <row r="166" spans="1:9">
      <c r="A166" s="3">
        <v>0</v>
      </c>
      <c r="B166" s="4">
        <v>106</v>
      </c>
      <c r="C166" s="4">
        <v>36</v>
      </c>
      <c r="D166" s="4">
        <v>142</v>
      </c>
      <c r="F166" s="6">
        <f>C166/$C$9</f>
        <v>0.25899280575539568</v>
      </c>
      <c r="G166" s="6">
        <f>B166/$B$9</f>
        <v>0.64634146341463417</v>
      </c>
      <c r="H166" s="6">
        <f>LN(F166/G166)</f>
        <v>-0.91452766096245053</v>
      </c>
      <c r="I166" s="6">
        <f>H166*(F166-G166)</f>
        <v>0.35424106186604837</v>
      </c>
    </row>
    <row r="167" spans="1:9">
      <c r="A167" s="3">
        <v>1</v>
      </c>
      <c r="B167" s="4">
        <v>49</v>
      </c>
      <c r="C167" s="4">
        <v>91</v>
      </c>
      <c r="D167" s="4">
        <v>140</v>
      </c>
      <c r="F167" s="6">
        <f>C167/$C$9</f>
        <v>0.65467625899280579</v>
      </c>
      <c r="G167" s="6">
        <f>B167/$B$9</f>
        <v>0.29878048780487804</v>
      </c>
      <c r="H167" s="6">
        <f>LN(F167/G167)</f>
        <v>0.78443170309973032</v>
      </c>
      <c r="I167" s="6">
        <f>H167*(F167-G167)</f>
        <v>0.27917592591893808</v>
      </c>
    </row>
    <row r="168" spans="1:9">
      <c r="A168" s="3">
        <v>2</v>
      </c>
      <c r="B168" s="4">
        <v>9</v>
      </c>
      <c r="C168" s="4">
        <v>12</v>
      </c>
      <c r="D168" s="4">
        <v>21</v>
      </c>
      <c r="F168" s="6">
        <f>C168/$C$9</f>
        <v>8.6330935251798566E-2</v>
      </c>
      <c r="G168" s="6">
        <f>B168/$B$9</f>
        <v>5.4878048780487805E-2</v>
      </c>
      <c r="H168" s="6">
        <f>LN(F168/G168)</f>
        <v>0.4530745671452876</v>
      </c>
      <c r="I168" s="6">
        <f>H168*(F168-G168)</f>
        <v>1.4250502923458995E-2</v>
      </c>
    </row>
    <row r="169" spans="1:9">
      <c r="A169" s="3" t="s">
        <v>22</v>
      </c>
      <c r="B169" s="4">
        <v>164</v>
      </c>
      <c r="C169" s="4">
        <v>139</v>
      </c>
      <c r="D169" s="4">
        <v>303</v>
      </c>
    </row>
    <row r="170" spans="1:9">
      <c r="H170" t="s">
        <v>29</v>
      </c>
      <c r="I170" s="8">
        <f>SUM(I166:I168)</f>
        <v>0.64766749070844543</v>
      </c>
    </row>
    <row r="181" spans="1:9">
      <c r="A181" s="5" t="s">
        <v>81</v>
      </c>
      <c r="B181" s="5" t="s">
        <v>23</v>
      </c>
    </row>
    <row r="182" spans="1:9">
      <c r="A182" s="5" t="s">
        <v>19</v>
      </c>
      <c r="B182">
        <v>0</v>
      </c>
      <c r="C182">
        <v>1</v>
      </c>
      <c r="D182" t="s">
        <v>22</v>
      </c>
      <c r="F182" t="s">
        <v>25</v>
      </c>
      <c r="G182" t="s">
        <v>26</v>
      </c>
      <c r="H182" t="s">
        <v>28</v>
      </c>
      <c r="I182" t="s">
        <v>27</v>
      </c>
    </row>
    <row r="183" spans="1:9">
      <c r="A183" s="3">
        <v>0</v>
      </c>
      <c r="B183" s="4">
        <v>133</v>
      </c>
      <c r="C183" s="4">
        <v>47</v>
      </c>
      <c r="D183" s="4">
        <v>180</v>
      </c>
      <c r="F183" s="6">
        <f>C183/$C$9</f>
        <v>0.33812949640287771</v>
      </c>
      <c r="G183" s="6">
        <f>B183/$B$9</f>
        <v>0.81097560975609762</v>
      </c>
      <c r="H183" s="6">
        <f>LN(F183/G183)</f>
        <v>-0.87480903181818859</v>
      </c>
      <c r="I183" s="6">
        <f>H183*(F183-G183)</f>
        <v>0.41365005062152377</v>
      </c>
    </row>
    <row r="184" spans="1:9">
      <c r="A184" s="3">
        <v>1</v>
      </c>
      <c r="B184" s="4">
        <v>21</v>
      </c>
      <c r="C184" s="4">
        <v>44</v>
      </c>
      <c r="D184" s="4">
        <v>65</v>
      </c>
      <c r="F184" s="6">
        <f>C184/$C$9</f>
        <v>0.31654676258992803</v>
      </c>
      <c r="G184" s="6">
        <f>B184/$B$9</f>
        <v>0.12804878048780488</v>
      </c>
      <c r="H184" s="6">
        <f>LN(F184/G184)</f>
        <v>0.90505969088834481</v>
      </c>
      <c r="I184" s="6">
        <f>H184*(F184-G184)</f>
        <v>0.17060192541442434</v>
      </c>
    </row>
    <row r="185" spans="1:9">
      <c r="A185" s="3">
        <v>2</v>
      </c>
      <c r="B185" s="4">
        <v>7</v>
      </c>
      <c r="C185" s="4">
        <v>31</v>
      </c>
      <c r="D185" s="4">
        <v>38</v>
      </c>
      <c r="F185" s="6">
        <f>C185/$C$9</f>
        <v>0.22302158273381295</v>
      </c>
      <c r="G185" s="6">
        <f>B185/$B$9</f>
        <v>4.2682926829268296E-2</v>
      </c>
      <c r="H185" s="6">
        <f>LN(F185/G185)</f>
        <v>1.6534695501233396</v>
      </c>
      <c r="I185" s="6">
        <f>H185*(F185-G185)</f>
        <v>0.29818447624833516</v>
      </c>
    </row>
    <row r="186" spans="1:9">
      <c r="A186" s="3">
        <v>3</v>
      </c>
      <c r="B186" s="4">
        <v>3</v>
      </c>
      <c r="C186" s="4">
        <v>17</v>
      </c>
      <c r="D186" s="4">
        <v>20</v>
      </c>
      <c r="F186" s="6">
        <f>C186/$C$9</f>
        <v>0.1223021582733813</v>
      </c>
      <c r="G186" s="6">
        <f>B186/$B$9</f>
        <v>1.8292682926829267E-2</v>
      </c>
      <c r="H186" s="6">
        <f>LN(F186/G186)</f>
        <v>1.8999935500816132</v>
      </c>
      <c r="I186" s="6">
        <f>H186*(F186-G186)</f>
        <v>0.1976173323058214</v>
      </c>
    </row>
    <row r="187" spans="1:9">
      <c r="A187" s="3" t="s">
        <v>22</v>
      </c>
      <c r="B187" s="4">
        <v>164</v>
      </c>
      <c r="C187" s="4">
        <v>139</v>
      </c>
      <c r="D187" s="4">
        <v>303</v>
      </c>
    </row>
    <row r="188" spans="1:9">
      <c r="H188" t="s">
        <v>29</v>
      </c>
      <c r="I188" s="8">
        <f>SUM(I183:I186)</f>
        <v>1.0800537845901048</v>
      </c>
    </row>
    <row r="198" spans="1:9">
      <c r="A198" s="5" t="s">
        <v>80</v>
      </c>
      <c r="B198" s="5" t="s">
        <v>23</v>
      </c>
    </row>
    <row r="199" spans="1:9">
      <c r="A199" s="5" t="s">
        <v>19</v>
      </c>
      <c r="B199">
        <v>0</v>
      </c>
      <c r="C199">
        <v>1</v>
      </c>
      <c r="D199" t="s">
        <v>22</v>
      </c>
      <c r="F199" t="s">
        <v>25</v>
      </c>
      <c r="G199" t="s">
        <v>26</v>
      </c>
      <c r="H199" t="s">
        <v>28</v>
      </c>
      <c r="I199" t="s">
        <v>27</v>
      </c>
    </row>
    <row r="200" spans="1:9">
      <c r="A200" s="3">
        <v>1</v>
      </c>
      <c r="B200" s="4">
        <v>130</v>
      </c>
      <c r="C200" s="4">
        <v>38</v>
      </c>
      <c r="D200" s="4">
        <v>168</v>
      </c>
      <c r="F200" s="6">
        <f>C200/$C$9</f>
        <v>0.2733812949640288</v>
      </c>
      <c r="G200" s="6">
        <f>B200/$B$9</f>
        <v>0.79268292682926833</v>
      </c>
      <c r="H200" s="6">
        <f>LN(F200/G200)</f>
        <v>-1.0645557960356899</v>
      </c>
      <c r="I200" s="6">
        <f>H200*(F200-G200)</f>
        <v>0.55282556209293288</v>
      </c>
    </row>
    <row r="201" spans="1:9">
      <c r="A201" s="3">
        <v>2</v>
      </c>
      <c r="B201" s="4">
        <v>6</v>
      </c>
      <c r="C201" s="4">
        <v>12</v>
      </c>
      <c r="D201" s="4">
        <v>18</v>
      </c>
      <c r="F201" s="6">
        <f>C201/$C$9</f>
        <v>8.6330935251798566E-2</v>
      </c>
      <c r="G201" s="6">
        <f>B201/$B$9</f>
        <v>3.6585365853658534E-2</v>
      </c>
      <c r="H201" s="6">
        <f>LN(F201/G201)</f>
        <v>0.85853967525345221</v>
      </c>
      <c r="I201" s="6">
        <f>H201*(F201-G201)</f>
        <v>4.2708544996377211E-2</v>
      </c>
    </row>
    <row r="202" spans="1:9">
      <c r="A202" s="3">
        <v>3</v>
      </c>
      <c r="B202" s="4">
        <v>28</v>
      </c>
      <c r="C202" s="4">
        <v>89</v>
      </c>
      <c r="D202" s="4">
        <v>117</v>
      </c>
      <c r="F202" s="6">
        <f>C202/$C$9</f>
        <v>0.64028776978417268</v>
      </c>
      <c r="G202" s="6">
        <f>B202/$B$9</f>
        <v>0.17073170731707318</v>
      </c>
      <c r="H202" s="6">
        <f>LN(F202/G202)</f>
        <v>1.3218243542504426</v>
      </c>
      <c r="I202" s="6">
        <f>H202*(F202-G202)</f>
        <v>0.62067063905495423</v>
      </c>
    </row>
    <row r="203" spans="1:9">
      <c r="A203" s="3" t="s">
        <v>22</v>
      </c>
      <c r="B203" s="4">
        <v>164</v>
      </c>
      <c r="C203" s="4">
        <v>139</v>
      </c>
      <c r="D203" s="4">
        <v>303</v>
      </c>
    </row>
    <row r="204" spans="1:9">
      <c r="H204" t="s">
        <v>29</v>
      </c>
      <c r="I204" s="8">
        <f>SUM(I200:I202)</f>
        <v>1.2162047461442644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21E2-D483-4B85-89F4-1562311FF6D5}">
  <dimension ref="A1:J304"/>
  <sheetViews>
    <sheetView zoomScale="146" workbookViewId="0">
      <selection activeCell="C3" sqref="C3"/>
    </sheetView>
  </sheetViews>
  <sheetFormatPr defaultRowHeight="14.4"/>
  <cols>
    <col min="1" max="1" width="14.88671875" bestFit="1" customWidth="1"/>
    <col min="2" max="2" width="8.44140625" bestFit="1" customWidth="1"/>
    <col min="3" max="4" width="11.5546875" bestFit="1" customWidth="1"/>
    <col min="5" max="5" width="13.88671875" bestFit="1" customWidth="1"/>
    <col min="6" max="6" width="8.33203125" bestFit="1" customWidth="1"/>
    <col min="7" max="7" width="14.33203125" bestFit="1" customWidth="1"/>
    <col min="8" max="9" width="14.33203125" customWidth="1"/>
    <col min="10" max="10" width="11.6640625" bestFit="1" customWidth="1"/>
  </cols>
  <sheetData>
    <row r="1" spans="1:10" s="1" customFormat="1">
      <c r="A1" s="1" t="s">
        <v>0</v>
      </c>
      <c r="B1" s="1" t="s">
        <v>1</v>
      </c>
      <c r="C1" s="1" t="s">
        <v>14</v>
      </c>
      <c r="D1" s="1" t="s">
        <v>76</v>
      </c>
      <c r="E1" s="1" t="s">
        <v>4</v>
      </c>
      <c r="F1" s="1" t="s">
        <v>77</v>
      </c>
      <c r="G1" s="1" t="s">
        <v>50</v>
      </c>
      <c r="H1" s="1" t="s">
        <v>78</v>
      </c>
      <c r="I1" s="1" t="s">
        <v>79</v>
      </c>
      <c r="J1" s="1" t="s">
        <v>75</v>
      </c>
    </row>
    <row r="2" spans="1:10">
      <c r="A2">
        <v>1</v>
      </c>
      <c r="B2">
        <v>0.64</v>
      </c>
      <c r="C2">
        <v>0.38</v>
      </c>
      <c r="D2">
        <v>0.04</v>
      </c>
      <c r="E2">
        <v>0.17</v>
      </c>
      <c r="F2">
        <v>0.33</v>
      </c>
      <c r="G2">
        <v>0.2</v>
      </c>
      <c r="H2">
        <v>0.99</v>
      </c>
      <c r="I2">
        <v>0.45</v>
      </c>
      <c r="J2" s="1" t="s">
        <v>73</v>
      </c>
    </row>
    <row r="3" spans="1:10">
      <c r="A3">
        <v>2</v>
      </c>
      <c r="B3">
        <v>0.17</v>
      </c>
      <c r="C3">
        <v>0.38</v>
      </c>
      <c r="D3">
        <v>0.56999999999999995</v>
      </c>
      <c r="E3">
        <v>0.48</v>
      </c>
      <c r="F3">
        <v>0.33</v>
      </c>
      <c r="G3">
        <v>1.1499999999999999</v>
      </c>
      <c r="H3">
        <v>-0.48</v>
      </c>
      <c r="I3">
        <v>0.78</v>
      </c>
      <c r="J3" s="1" t="s">
        <v>74</v>
      </c>
    </row>
    <row r="4" spans="1:10">
      <c r="A4">
        <v>3</v>
      </c>
      <c r="B4">
        <v>0.17</v>
      </c>
      <c r="C4">
        <v>0.38</v>
      </c>
      <c r="D4">
        <v>-0.32</v>
      </c>
      <c r="E4">
        <v>0.17</v>
      </c>
      <c r="F4">
        <v>0.33</v>
      </c>
      <c r="G4">
        <v>1.1499999999999999</v>
      </c>
      <c r="H4">
        <v>0.99</v>
      </c>
      <c r="I4">
        <v>0.78</v>
      </c>
      <c r="J4" s="1" t="s">
        <v>74</v>
      </c>
    </row>
    <row r="5" spans="1:10">
      <c r="A5">
        <v>4</v>
      </c>
      <c r="B5">
        <v>-0.83</v>
      </c>
      <c r="C5">
        <v>0.38</v>
      </c>
      <c r="D5">
        <v>0.04</v>
      </c>
      <c r="E5">
        <v>0.17</v>
      </c>
      <c r="F5">
        <v>-0.36</v>
      </c>
      <c r="G5">
        <v>-1.01</v>
      </c>
      <c r="H5">
        <v>2.42</v>
      </c>
      <c r="I5">
        <v>0.45</v>
      </c>
      <c r="J5" s="1" t="s">
        <v>73</v>
      </c>
    </row>
    <row r="6" spans="1:10">
      <c r="A6">
        <v>5</v>
      </c>
      <c r="B6">
        <v>-0.83</v>
      </c>
      <c r="C6">
        <v>-0.89</v>
      </c>
      <c r="D6">
        <v>0.04</v>
      </c>
      <c r="E6">
        <v>0.17</v>
      </c>
      <c r="F6">
        <v>0.33</v>
      </c>
      <c r="G6">
        <v>-1.01</v>
      </c>
      <c r="H6">
        <v>-0.48</v>
      </c>
      <c r="I6">
        <v>-0.91</v>
      </c>
      <c r="J6" s="1" t="s">
        <v>73</v>
      </c>
    </row>
    <row r="7" spans="1:10">
      <c r="A7">
        <v>6</v>
      </c>
      <c r="B7">
        <v>-0.28000000000000003</v>
      </c>
      <c r="C7">
        <v>0.38</v>
      </c>
      <c r="D7">
        <v>-0.32</v>
      </c>
      <c r="E7">
        <v>0.17</v>
      </c>
      <c r="F7">
        <v>-0.36</v>
      </c>
      <c r="G7">
        <v>-1.01</v>
      </c>
      <c r="H7">
        <v>-0.48</v>
      </c>
      <c r="I7">
        <v>-0.91</v>
      </c>
      <c r="J7" s="1" t="s">
        <v>73</v>
      </c>
    </row>
    <row r="8" spans="1:10">
      <c r="A8">
        <v>7</v>
      </c>
      <c r="B8">
        <v>0.64</v>
      </c>
      <c r="C8">
        <v>-0.89</v>
      </c>
      <c r="D8">
        <v>0.04</v>
      </c>
      <c r="E8">
        <v>0.48</v>
      </c>
      <c r="F8">
        <v>0.33</v>
      </c>
      <c r="G8">
        <v>0.2</v>
      </c>
      <c r="H8">
        <v>2.42</v>
      </c>
      <c r="I8">
        <v>0.45</v>
      </c>
      <c r="J8" s="1" t="s">
        <v>74</v>
      </c>
    </row>
    <row r="9" spans="1:10">
      <c r="A9">
        <v>8</v>
      </c>
      <c r="B9">
        <v>0.64</v>
      </c>
      <c r="C9">
        <v>-0.89</v>
      </c>
      <c r="D9">
        <v>-0.32</v>
      </c>
      <c r="E9">
        <v>-0.35</v>
      </c>
      <c r="F9">
        <v>-0.36</v>
      </c>
      <c r="G9">
        <v>-1.01</v>
      </c>
      <c r="H9">
        <v>-0.48</v>
      </c>
      <c r="I9">
        <v>-0.91</v>
      </c>
      <c r="J9" s="1" t="s">
        <v>73</v>
      </c>
    </row>
    <row r="10" spans="1:10">
      <c r="A10">
        <v>9</v>
      </c>
      <c r="B10">
        <v>0.64</v>
      </c>
      <c r="C10">
        <v>0.38</v>
      </c>
      <c r="D10">
        <v>0.04</v>
      </c>
      <c r="E10">
        <v>0.48</v>
      </c>
      <c r="F10">
        <v>0.33</v>
      </c>
      <c r="G10">
        <v>0.2</v>
      </c>
      <c r="H10">
        <v>-0.48</v>
      </c>
      <c r="I10">
        <v>0.78</v>
      </c>
      <c r="J10" s="1" t="s">
        <v>74</v>
      </c>
    </row>
    <row r="11" spans="1:10">
      <c r="A11">
        <v>10</v>
      </c>
      <c r="B11">
        <v>-0.28000000000000003</v>
      </c>
      <c r="C11">
        <v>0.38</v>
      </c>
      <c r="D11">
        <v>0.04</v>
      </c>
      <c r="E11">
        <v>0.17</v>
      </c>
      <c r="F11">
        <v>0.33</v>
      </c>
      <c r="G11">
        <v>0.2</v>
      </c>
      <c r="H11">
        <v>2.42</v>
      </c>
      <c r="I11">
        <v>0.45</v>
      </c>
      <c r="J11" s="1" t="s">
        <v>74</v>
      </c>
    </row>
    <row r="12" spans="1:10">
      <c r="A12">
        <v>11</v>
      </c>
      <c r="B12">
        <v>0.64</v>
      </c>
      <c r="C12">
        <v>0.38</v>
      </c>
      <c r="D12">
        <v>0.04</v>
      </c>
      <c r="E12">
        <v>-0.16</v>
      </c>
      <c r="F12">
        <v>-0.36</v>
      </c>
      <c r="G12">
        <v>0.2</v>
      </c>
      <c r="H12">
        <v>-0.48</v>
      </c>
      <c r="I12">
        <v>0.78</v>
      </c>
      <c r="J12" s="1" t="s">
        <v>73</v>
      </c>
    </row>
    <row r="13" spans="1:10">
      <c r="A13">
        <v>12</v>
      </c>
      <c r="B13">
        <v>-0.28000000000000003</v>
      </c>
      <c r="C13">
        <v>-0.89</v>
      </c>
      <c r="D13">
        <v>0.04</v>
      </c>
      <c r="E13">
        <v>0.48</v>
      </c>
      <c r="F13">
        <v>0.33</v>
      </c>
      <c r="G13">
        <v>0.2</v>
      </c>
      <c r="H13">
        <v>-0.48</v>
      </c>
      <c r="I13">
        <v>0.78</v>
      </c>
      <c r="J13" s="1" t="s">
        <v>73</v>
      </c>
    </row>
    <row r="14" spans="1:10">
      <c r="A14">
        <v>13</v>
      </c>
      <c r="B14">
        <v>-0.28000000000000003</v>
      </c>
      <c r="C14">
        <v>0.38</v>
      </c>
      <c r="D14">
        <v>0.04</v>
      </c>
      <c r="E14">
        <v>0.48</v>
      </c>
      <c r="F14">
        <v>0.33</v>
      </c>
      <c r="G14">
        <v>0.2</v>
      </c>
      <c r="H14">
        <v>-0.48</v>
      </c>
      <c r="I14">
        <v>0.78</v>
      </c>
      <c r="J14" s="1" t="s">
        <v>74</v>
      </c>
    </row>
    <row r="15" spans="1:10">
      <c r="A15">
        <v>14</v>
      </c>
      <c r="B15">
        <v>-0.83</v>
      </c>
      <c r="C15">
        <v>0.38</v>
      </c>
      <c r="D15">
        <v>-0.32</v>
      </c>
      <c r="E15">
        <v>0.48</v>
      </c>
      <c r="F15">
        <v>-0.36</v>
      </c>
      <c r="G15">
        <v>-1.01</v>
      </c>
      <c r="H15">
        <v>-0.48</v>
      </c>
      <c r="I15">
        <v>-0.91</v>
      </c>
      <c r="J15" s="1" t="s">
        <v>73</v>
      </c>
    </row>
    <row r="16" spans="1:10">
      <c r="A16">
        <v>15</v>
      </c>
      <c r="B16">
        <v>-0.28000000000000003</v>
      </c>
      <c r="C16">
        <v>0.38</v>
      </c>
      <c r="D16">
        <v>0.56999999999999995</v>
      </c>
      <c r="E16">
        <v>-0.16</v>
      </c>
      <c r="F16">
        <v>-0.36</v>
      </c>
      <c r="G16">
        <v>-1.01</v>
      </c>
      <c r="H16">
        <v>-0.48</v>
      </c>
      <c r="I16">
        <v>-0.91</v>
      </c>
      <c r="J16" s="1" t="s">
        <v>73</v>
      </c>
    </row>
    <row r="17" spans="1:10">
      <c r="A17">
        <v>16</v>
      </c>
      <c r="B17">
        <v>0.64</v>
      </c>
      <c r="C17">
        <v>0.38</v>
      </c>
      <c r="D17">
        <v>0.04</v>
      </c>
      <c r="E17">
        <v>-0.16</v>
      </c>
      <c r="F17">
        <v>-0.36</v>
      </c>
      <c r="G17">
        <v>-1.01</v>
      </c>
      <c r="H17">
        <v>0.99</v>
      </c>
      <c r="I17">
        <v>-0.91</v>
      </c>
      <c r="J17" s="1" t="s">
        <v>73</v>
      </c>
    </row>
    <row r="18" spans="1:10">
      <c r="A18">
        <v>17</v>
      </c>
      <c r="B18">
        <v>-0.28000000000000003</v>
      </c>
      <c r="C18">
        <v>0.38</v>
      </c>
      <c r="D18">
        <v>-0.32</v>
      </c>
      <c r="E18">
        <v>0.17</v>
      </c>
      <c r="F18">
        <v>-0.36</v>
      </c>
      <c r="G18">
        <v>-1.01</v>
      </c>
      <c r="H18">
        <v>-0.48</v>
      </c>
      <c r="I18">
        <v>0.45</v>
      </c>
      <c r="J18" s="1" t="s">
        <v>74</v>
      </c>
    </row>
    <row r="19" spans="1:10">
      <c r="A19">
        <v>18</v>
      </c>
      <c r="B19">
        <v>-0.28000000000000003</v>
      </c>
      <c r="C19">
        <v>0.38</v>
      </c>
      <c r="D19">
        <v>0.04</v>
      </c>
      <c r="E19">
        <v>0.17</v>
      </c>
      <c r="F19">
        <v>-0.36</v>
      </c>
      <c r="G19">
        <v>0.2</v>
      </c>
      <c r="H19">
        <v>-0.48</v>
      </c>
      <c r="I19">
        <v>-0.91</v>
      </c>
      <c r="J19" s="1" t="s">
        <v>73</v>
      </c>
    </row>
    <row r="20" spans="1:10">
      <c r="A20">
        <v>19</v>
      </c>
      <c r="B20">
        <v>-0.28000000000000003</v>
      </c>
      <c r="C20">
        <v>-0.89</v>
      </c>
      <c r="D20">
        <v>0.04</v>
      </c>
      <c r="E20">
        <v>0.48</v>
      </c>
      <c r="F20">
        <v>-0.36</v>
      </c>
      <c r="G20">
        <v>0.2</v>
      </c>
      <c r="H20">
        <v>-0.48</v>
      </c>
      <c r="I20">
        <v>-0.91</v>
      </c>
      <c r="J20" s="1" t="s">
        <v>73</v>
      </c>
    </row>
    <row r="21" spans="1:10">
      <c r="A21">
        <v>20</v>
      </c>
      <c r="B21">
        <v>-0.28000000000000003</v>
      </c>
      <c r="C21">
        <v>0.38</v>
      </c>
      <c r="D21">
        <v>0.04</v>
      </c>
      <c r="E21">
        <v>0.48</v>
      </c>
      <c r="F21">
        <v>-0.36</v>
      </c>
      <c r="G21">
        <v>-1.01</v>
      </c>
      <c r="H21">
        <v>-0.48</v>
      </c>
      <c r="I21">
        <v>-0.91</v>
      </c>
      <c r="J21" s="1" t="s">
        <v>73</v>
      </c>
    </row>
    <row r="22" spans="1:10">
      <c r="A22">
        <v>21</v>
      </c>
      <c r="B22">
        <v>0.64</v>
      </c>
      <c r="C22">
        <v>0.38</v>
      </c>
      <c r="D22">
        <v>-0.32</v>
      </c>
      <c r="E22">
        <v>0.17</v>
      </c>
      <c r="F22">
        <v>0.33</v>
      </c>
      <c r="G22">
        <v>0.2</v>
      </c>
      <c r="H22">
        <v>0.99</v>
      </c>
      <c r="I22">
        <v>0.78</v>
      </c>
      <c r="J22" s="1" t="s">
        <v>73</v>
      </c>
    </row>
    <row r="23" spans="1:10">
      <c r="A23">
        <v>22</v>
      </c>
      <c r="B23">
        <v>0.64</v>
      </c>
      <c r="C23">
        <v>-0.89</v>
      </c>
      <c r="D23">
        <v>0.04</v>
      </c>
      <c r="E23">
        <v>0.48</v>
      </c>
      <c r="F23">
        <v>0.33</v>
      </c>
      <c r="G23">
        <v>-1.01</v>
      </c>
      <c r="H23">
        <v>-0.48</v>
      </c>
      <c r="I23">
        <v>-0.91</v>
      </c>
      <c r="J23" s="1" t="s">
        <v>73</v>
      </c>
    </row>
    <row r="24" spans="1:10">
      <c r="A24">
        <v>23</v>
      </c>
      <c r="B24">
        <v>0.64</v>
      </c>
      <c r="C24">
        <v>0.38</v>
      </c>
      <c r="D24">
        <v>-0.32</v>
      </c>
      <c r="E24">
        <v>0.48</v>
      </c>
      <c r="F24">
        <v>0.33</v>
      </c>
      <c r="G24">
        <v>0.2</v>
      </c>
      <c r="H24">
        <v>0.99</v>
      </c>
      <c r="I24">
        <v>0.78</v>
      </c>
      <c r="J24" s="1" t="s">
        <v>74</v>
      </c>
    </row>
    <row r="25" spans="1:10">
      <c r="A25">
        <v>24</v>
      </c>
      <c r="B25">
        <v>0.64</v>
      </c>
      <c r="C25">
        <v>0.38</v>
      </c>
      <c r="D25">
        <v>0.04</v>
      </c>
      <c r="E25">
        <v>0.17</v>
      </c>
      <c r="F25">
        <v>0.33</v>
      </c>
      <c r="G25">
        <v>-1.01</v>
      </c>
      <c r="H25">
        <v>2.42</v>
      </c>
      <c r="I25">
        <v>-0.91</v>
      </c>
      <c r="J25" s="1" t="s">
        <v>74</v>
      </c>
    </row>
    <row r="26" spans="1:10">
      <c r="A26">
        <v>25</v>
      </c>
      <c r="B26">
        <v>0.64</v>
      </c>
      <c r="C26">
        <v>0.38</v>
      </c>
      <c r="D26">
        <v>0.04</v>
      </c>
      <c r="E26">
        <v>0.17</v>
      </c>
      <c r="F26">
        <v>0.33</v>
      </c>
      <c r="G26">
        <v>0.2</v>
      </c>
      <c r="H26">
        <v>0.99</v>
      </c>
      <c r="I26">
        <v>0.78</v>
      </c>
      <c r="J26" s="1" t="s">
        <v>74</v>
      </c>
    </row>
    <row r="27" spans="1:10">
      <c r="A27">
        <v>26</v>
      </c>
      <c r="B27">
        <v>-0.28000000000000003</v>
      </c>
      <c r="C27">
        <v>-0.89</v>
      </c>
      <c r="D27">
        <v>-0.32</v>
      </c>
      <c r="E27">
        <v>0.17</v>
      </c>
      <c r="F27">
        <v>-0.36</v>
      </c>
      <c r="G27">
        <v>0.2</v>
      </c>
      <c r="H27">
        <v>0.99</v>
      </c>
      <c r="I27">
        <v>0.78</v>
      </c>
      <c r="J27" s="1" t="s">
        <v>73</v>
      </c>
    </row>
    <row r="28" spans="1:10">
      <c r="A28">
        <v>27</v>
      </c>
      <c r="B28">
        <v>0.64</v>
      </c>
      <c r="C28">
        <v>-0.89</v>
      </c>
      <c r="D28">
        <v>-0.32</v>
      </c>
      <c r="E28">
        <v>0.17</v>
      </c>
      <c r="F28">
        <v>-0.36</v>
      </c>
      <c r="G28">
        <v>-1.01</v>
      </c>
      <c r="H28">
        <v>-0.48</v>
      </c>
      <c r="I28">
        <v>-0.91</v>
      </c>
      <c r="J28" s="1" t="s">
        <v>73</v>
      </c>
    </row>
    <row r="29" spans="1:10">
      <c r="A29">
        <v>28</v>
      </c>
      <c r="B29">
        <v>0.64</v>
      </c>
      <c r="C29">
        <v>-0.89</v>
      </c>
      <c r="D29">
        <v>0.04</v>
      </c>
      <c r="E29">
        <v>0.17</v>
      </c>
      <c r="F29">
        <v>-0.36</v>
      </c>
      <c r="G29">
        <v>1.1499999999999999</v>
      </c>
      <c r="H29">
        <v>0.99</v>
      </c>
      <c r="I29">
        <v>0.45</v>
      </c>
      <c r="J29" s="1" t="s">
        <v>73</v>
      </c>
    </row>
    <row r="30" spans="1:10">
      <c r="A30">
        <v>29</v>
      </c>
      <c r="B30">
        <v>-0.83</v>
      </c>
      <c r="C30">
        <v>0.38</v>
      </c>
      <c r="D30">
        <v>0.04</v>
      </c>
      <c r="E30">
        <v>0.17</v>
      </c>
      <c r="F30">
        <v>-0.36</v>
      </c>
      <c r="G30">
        <v>-1.01</v>
      </c>
      <c r="H30">
        <v>-0.48</v>
      </c>
      <c r="I30">
        <v>-0.91</v>
      </c>
      <c r="J30" s="1" t="s">
        <v>73</v>
      </c>
    </row>
    <row r="31" spans="1:10">
      <c r="A31">
        <v>30</v>
      </c>
      <c r="B31">
        <v>-0.83</v>
      </c>
      <c r="C31">
        <v>0.38</v>
      </c>
      <c r="D31">
        <v>-0.32</v>
      </c>
      <c r="E31">
        <v>-0.16</v>
      </c>
      <c r="F31">
        <v>0.33</v>
      </c>
      <c r="G31">
        <v>1.1499999999999999</v>
      </c>
      <c r="H31">
        <v>0.99</v>
      </c>
      <c r="I31">
        <v>0.78</v>
      </c>
      <c r="J31" s="1" t="s">
        <v>74</v>
      </c>
    </row>
    <row r="32" spans="1:10">
      <c r="A32">
        <v>31</v>
      </c>
      <c r="B32">
        <v>0.17</v>
      </c>
      <c r="C32">
        <v>-0.89</v>
      </c>
      <c r="D32">
        <v>0.04</v>
      </c>
      <c r="E32">
        <v>0.17</v>
      </c>
      <c r="F32">
        <v>-0.36</v>
      </c>
      <c r="G32">
        <v>0.2</v>
      </c>
      <c r="H32">
        <v>0.99</v>
      </c>
      <c r="I32">
        <v>-0.91</v>
      </c>
      <c r="J32" s="1" t="s">
        <v>73</v>
      </c>
    </row>
    <row r="33" spans="1:10">
      <c r="A33">
        <v>32</v>
      </c>
      <c r="B33">
        <v>0.64</v>
      </c>
      <c r="C33">
        <v>0.38</v>
      </c>
      <c r="D33">
        <v>-0.32</v>
      </c>
      <c r="E33">
        <v>0.17</v>
      </c>
      <c r="F33">
        <v>-0.36</v>
      </c>
      <c r="G33">
        <v>0.2</v>
      </c>
      <c r="H33">
        <v>-0.48</v>
      </c>
      <c r="I33">
        <v>-0.91</v>
      </c>
      <c r="J33" s="1" t="s">
        <v>74</v>
      </c>
    </row>
    <row r="34" spans="1:10">
      <c r="A34">
        <v>33</v>
      </c>
      <c r="B34">
        <v>0.64</v>
      </c>
      <c r="C34">
        <v>0.38</v>
      </c>
      <c r="D34">
        <v>0.04</v>
      </c>
      <c r="E34">
        <v>0.17</v>
      </c>
      <c r="F34">
        <v>-0.36</v>
      </c>
      <c r="G34">
        <v>0.2</v>
      </c>
      <c r="H34">
        <v>-0.48</v>
      </c>
      <c r="I34">
        <v>-0.91</v>
      </c>
      <c r="J34" s="1" t="s">
        <v>74</v>
      </c>
    </row>
    <row r="35" spans="1:10">
      <c r="A35">
        <v>34</v>
      </c>
      <c r="B35">
        <v>0.64</v>
      </c>
      <c r="C35">
        <v>0.38</v>
      </c>
      <c r="D35">
        <v>0.04</v>
      </c>
      <c r="E35">
        <v>0.17</v>
      </c>
      <c r="F35">
        <v>-0.36</v>
      </c>
      <c r="G35">
        <v>-1.01</v>
      </c>
      <c r="H35">
        <v>-0.48</v>
      </c>
      <c r="I35">
        <v>0.78</v>
      </c>
      <c r="J35" s="1" t="s">
        <v>73</v>
      </c>
    </row>
    <row r="36" spans="1:10">
      <c r="A36">
        <v>35</v>
      </c>
      <c r="B36">
        <v>-0.83</v>
      </c>
      <c r="C36">
        <v>0.38</v>
      </c>
      <c r="D36">
        <v>0.04</v>
      </c>
      <c r="E36">
        <v>0.17</v>
      </c>
      <c r="F36">
        <v>-0.36</v>
      </c>
      <c r="G36">
        <v>-1.01</v>
      </c>
      <c r="H36">
        <v>-0.48</v>
      </c>
      <c r="I36">
        <v>-0.91</v>
      </c>
      <c r="J36" s="1" t="s">
        <v>73</v>
      </c>
    </row>
    <row r="37" spans="1:10">
      <c r="A37">
        <v>36</v>
      </c>
      <c r="B37">
        <v>-0.83</v>
      </c>
      <c r="C37">
        <v>0.38</v>
      </c>
      <c r="D37">
        <v>0.04</v>
      </c>
      <c r="E37">
        <v>0.17</v>
      </c>
      <c r="F37">
        <v>-0.36</v>
      </c>
      <c r="G37">
        <v>-1.01</v>
      </c>
      <c r="H37">
        <v>-0.48</v>
      </c>
      <c r="I37">
        <v>-0.91</v>
      </c>
      <c r="J37" s="1" t="s">
        <v>73</v>
      </c>
    </row>
    <row r="38" spans="1:10">
      <c r="A38">
        <v>37</v>
      </c>
      <c r="B38">
        <v>-0.83</v>
      </c>
      <c r="C38">
        <v>0.38</v>
      </c>
      <c r="D38">
        <v>-0.32</v>
      </c>
      <c r="E38">
        <v>-0.16</v>
      </c>
      <c r="F38">
        <v>0.33</v>
      </c>
      <c r="G38">
        <v>1.1499999999999999</v>
      </c>
      <c r="H38">
        <v>0.99</v>
      </c>
      <c r="I38">
        <v>0.78</v>
      </c>
      <c r="J38" s="1" t="s">
        <v>74</v>
      </c>
    </row>
    <row r="39" spans="1:10">
      <c r="A39">
        <v>38</v>
      </c>
      <c r="B39">
        <v>0.64</v>
      </c>
      <c r="C39">
        <v>0.38</v>
      </c>
      <c r="D39">
        <v>0.04</v>
      </c>
      <c r="E39">
        <v>0.48</v>
      </c>
      <c r="F39">
        <v>0.33</v>
      </c>
      <c r="G39">
        <v>1.1499999999999999</v>
      </c>
      <c r="H39">
        <v>-0.48</v>
      </c>
      <c r="I39">
        <v>0.78</v>
      </c>
      <c r="J39" s="1" t="s">
        <v>74</v>
      </c>
    </row>
    <row r="40" spans="1:10">
      <c r="A40">
        <v>39</v>
      </c>
      <c r="B40">
        <v>-0.28000000000000003</v>
      </c>
      <c r="C40">
        <v>0.38</v>
      </c>
      <c r="D40">
        <v>0.04</v>
      </c>
      <c r="E40">
        <v>-0.35</v>
      </c>
      <c r="F40">
        <v>-0.36</v>
      </c>
      <c r="G40">
        <v>0.2</v>
      </c>
      <c r="H40">
        <v>-0.48</v>
      </c>
      <c r="I40">
        <v>0.78</v>
      </c>
      <c r="J40" s="1" t="s">
        <v>74</v>
      </c>
    </row>
    <row r="41" spans="1:10">
      <c r="A41">
        <v>40</v>
      </c>
      <c r="B41">
        <v>0.64</v>
      </c>
      <c r="C41">
        <v>0.38</v>
      </c>
      <c r="D41">
        <v>0.04</v>
      </c>
      <c r="E41">
        <v>0.17</v>
      </c>
      <c r="F41">
        <v>-0.36</v>
      </c>
      <c r="G41">
        <v>0.2</v>
      </c>
      <c r="H41">
        <v>-0.48</v>
      </c>
      <c r="I41">
        <v>0.78</v>
      </c>
      <c r="J41" s="1" t="s">
        <v>73</v>
      </c>
    </row>
    <row r="42" spans="1:10">
      <c r="A42">
        <v>41</v>
      </c>
      <c r="B42">
        <v>0.64</v>
      </c>
      <c r="C42">
        <v>-0.89</v>
      </c>
      <c r="D42">
        <v>0.04</v>
      </c>
      <c r="E42">
        <v>0.17</v>
      </c>
      <c r="F42">
        <v>0.33</v>
      </c>
      <c r="G42">
        <v>1.1499999999999999</v>
      </c>
      <c r="H42">
        <v>-0.48</v>
      </c>
      <c r="I42">
        <v>0.78</v>
      </c>
      <c r="J42" s="1" t="s">
        <v>74</v>
      </c>
    </row>
    <row r="43" spans="1:10">
      <c r="A43">
        <v>42</v>
      </c>
      <c r="B43">
        <v>-0.83</v>
      </c>
      <c r="C43">
        <v>0.38</v>
      </c>
      <c r="D43">
        <v>0.04</v>
      </c>
      <c r="E43">
        <v>-0.16</v>
      </c>
      <c r="F43">
        <v>-0.36</v>
      </c>
      <c r="G43">
        <v>-1.01</v>
      </c>
      <c r="H43">
        <v>-0.48</v>
      </c>
      <c r="I43">
        <v>-0.91</v>
      </c>
      <c r="J43" s="1" t="s">
        <v>73</v>
      </c>
    </row>
    <row r="44" spans="1:10">
      <c r="A44">
        <v>43</v>
      </c>
      <c r="B44">
        <v>0.17</v>
      </c>
      <c r="C44">
        <v>-0.89</v>
      </c>
      <c r="D44">
        <v>0.56999999999999995</v>
      </c>
      <c r="E44">
        <v>0.17</v>
      </c>
      <c r="F44">
        <v>-0.36</v>
      </c>
      <c r="G44">
        <v>-1.01</v>
      </c>
      <c r="H44">
        <v>-0.48</v>
      </c>
      <c r="I44">
        <v>-0.91</v>
      </c>
      <c r="J44" s="1" t="s">
        <v>73</v>
      </c>
    </row>
    <row r="45" spans="1:10">
      <c r="A45">
        <v>44</v>
      </c>
      <c r="B45">
        <v>0.64</v>
      </c>
      <c r="C45">
        <v>0.38</v>
      </c>
      <c r="D45">
        <v>0.04</v>
      </c>
      <c r="E45">
        <v>0.17</v>
      </c>
      <c r="F45">
        <v>-0.36</v>
      </c>
      <c r="G45">
        <v>0.2</v>
      </c>
      <c r="H45">
        <v>0.99</v>
      </c>
      <c r="I45">
        <v>-0.91</v>
      </c>
      <c r="J45" s="1" t="s">
        <v>73</v>
      </c>
    </row>
    <row r="46" spans="1:10">
      <c r="A46">
        <v>45</v>
      </c>
      <c r="B46">
        <v>0.64</v>
      </c>
      <c r="C46">
        <v>-0.89</v>
      </c>
      <c r="D46">
        <v>0.04</v>
      </c>
      <c r="E46">
        <v>0.17</v>
      </c>
      <c r="F46">
        <v>0.33</v>
      </c>
      <c r="G46">
        <v>-1.01</v>
      </c>
      <c r="H46">
        <v>-0.48</v>
      </c>
      <c r="I46">
        <v>-0.91</v>
      </c>
      <c r="J46" s="1" t="s">
        <v>74</v>
      </c>
    </row>
    <row r="47" spans="1:10">
      <c r="A47">
        <v>46</v>
      </c>
      <c r="B47">
        <v>0.64</v>
      </c>
      <c r="C47">
        <v>0.38</v>
      </c>
      <c r="D47">
        <v>-0.32</v>
      </c>
      <c r="E47">
        <v>0.17</v>
      </c>
      <c r="F47">
        <v>0.33</v>
      </c>
      <c r="G47">
        <v>-1.01</v>
      </c>
      <c r="H47">
        <v>0.99</v>
      </c>
      <c r="I47">
        <v>0.78</v>
      </c>
      <c r="J47" s="1" t="s">
        <v>74</v>
      </c>
    </row>
    <row r="48" spans="1:10">
      <c r="A48">
        <v>47</v>
      </c>
      <c r="B48">
        <v>-0.28000000000000003</v>
      </c>
      <c r="C48">
        <v>0.38</v>
      </c>
      <c r="D48">
        <v>-0.32</v>
      </c>
      <c r="E48">
        <v>-0.16</v>
      </c>
      <c r="F48">
        <v>-0.36</v>
      </c>
      <c r="G48">
        <v>1.1499999999999999</v>
      </c>
      <c r="H48">
        <v>-0.48</v>
      </c>
      <c r="I48">
        <v>-0.91</v>
      </c>
      <c r="J48" s="1" t="s">
        <v>73</v>
      </c>
    </row>
    <row r="49" spans="1:10">
      <c r="A49">
        <v>48</v>
      </c>
      <c r="B49">
        <v>-0.28000000000000003</v>
      </c>
      <c r="C49">
        <v>0.38</v>
      </c>
      <c r="D49">
        <v>0.04</v>
      </c>
      <c r="E49">
        <v>0.17</v>
      </c>
      <c r="F49">
        <v>0.33</v>
      </c>
      <c r="G49">
        <v>1.1499999999999999</v>
      </c>
      <c r="H49">
        <v>0.99</v>
      </c>
      <c r="I49">
        <v>0.78</v>
      </c>
      <c r="J49" s="1" t="s">
        <v>74</v>
      </c>
    </row>
    <row r="50" spans="1:10">
      <c r="A50">
        <v>49</v>
      </c>
      <c r="B50">
        <v>0.64</v>
      </c>
      <c r="C50">
        <v>-0.89</v>
      </c>
      <c r="D50">
        <v>0.04</v>
      </c>
      <c r="E50">
        <v>-0.35</v>
      </c>
      <c r="F50">
        <v>0.33</v>
      </c>
      <c r="G50">
        <v>0.2</v>
      </c>
      <c r="H50">
        <v>-0.48</v>
      </c>
      <c r="I50">
        <v>-0.91</v>
      </c>
      <c r="J50" s="1" t="s">
        <v>73</v>
      </c>
    </row>
    <row r="51" spans="1:10">
      <c r="A51">
        <v>50</v>
      </c>
      <c r="B51">
        <v>-0.28000000000000003</v>
      </c>
      <c r="C51">
        <v>0.38</v>
      </c>
      <c r="D51">
        <v>0.04</v>
      </c>
      <c r="E51">
        <v>-0.16</v>
      </c>
      <c r="F51">
        <v>0.33</v>
      </c>
      <c r="G51">
        <v>0.2</v>
      </c>
      <c r="H51">
        <v>-0.48</v>
      </c>
      <c r="I51">
        <v>0.45</v>
      </c>
      <c r="J51" s="1" t="s">
        <v>73</v>
      </c>
    </row>
    <row r="52" spans="1:10">
      <c r="A52">
        <v>51</v>
      </c>
      <c r="B52">
        <v>-0.83</v>
      </c>
      <c r="C52">
        <v>-0.89</v>
      </c>
      <c r="D52">
        <v>-0.32</v>
      </c>
      <c r="E52">
        <v>-0.16</v>
      </c>
      <c r="F52">
        <v>-0.36</v>
      </c>
      <c r="G52">
        <v>-1.01</v>
      </c>
      <c r="H52">
        <v>-0.48</v>
      </c>
      <c r="I52">
        <v>-0.91</v>
      </c>
      <c r="J52" s="1" t="s">
        <v>73</v>
      </c>
    </row>
    <row r="53" spans="1:10">
      <c r="A53">
        <v>52</v>
      </c>
      <c r="B53">
        <v>0.64</v>
      </c>
      <c r="C53">
        <v>0.38</v>
      </c>
      <c r="D53">
        <v>-0.32</v>
      </c>
      <c r="E53">
        <v>-0.16</v>
      </c>
      <c r="F53">
        <v>-0.36</v>
      </c>
      <c r="G53">
        <v>0.2</v>
      </c>
      <c r="H53">
        <v>-0.48</v>
      </c>
      <c r="I53">
        <v>-0.91</v>
      </c>
      <c r="J53" s="1" t="s">
        <v>73</v>
      </c>
    </row>
    <row r="54" spans="1:10">
      <c r="A54">
        <v>53</v>
      </c>
      <c r="B54">
        <v>-0.83</v>
      </c>
      <c r="C54">
        <v>0.38</v>
      </c>
      <c r="D54">
        <v>-0.32</v>
      </c>
      <c r="E54">
        <v>0.48</v>
      </c>
      <c r="F54">
        <v>0.33</v>
      </c>
      <c r="G54">
        <v>0.2</v>
      </c>
      <c r="H54">
        <v>-0.48</v>
      </c>
      <c r="I54">
        <v>-0.91</v>
      </c>
      <c r="J54" s="1" t="s">
        <v>74</v>
      </c>
    </row>
    <row r="55" spans="1:10">
      <c r="A55">
        <v>54</v>
      </c>
      <c r="B55">
        <v>-0.83</v>
      </c>
      <c r="C55">
        <v>0.38</v>
      </c>
      <c r="D55">
        <v>0.04</v>
      </c>
      <c r="E55">
        <v>0.17</v>
      </c>
      <c r="F55">
        <v>0.33</v>
      </c>
      <c r="G55">
        <v>-1.01</v>
      </c>
      <c r="H55">
        <v>-0.48</v>
      </c>
      <c r="I55">
        <v>-0.91</v>
      </c>
      <c r="J55" s="1" t="s">
        <v>73</v>
      </c>
    </row>
    <row r="56" spans="1:10">
      <c r="A56">
        <v>55</v>
      </c>
      <c r="B56">
        <v>0.64</v>
      </c>
      <c r="C56">
        <v>0.38</v>
      </c>
      <c r="D56">
        <v>0.04</v>
      </c>
      <c r="E56">
        <v>0.48</v>
      </c>
      <c r="F56">
        <v>-0.36</v>
      </c>
      <c r="G56">
        <v>0.2</v>
      </c>
      <c r="H56">
        <v>-0.48</v>
      </c>
      <c r="I56">
        <v>-0.91</v>
      </c>
      <c r="J56" s="1" t="s">
        <v>74</v>
      </c>
    </row>
    <row r="57" spans="1:10">
      <c r="A57">
        <v>56</v>
      </c>
      <c r="B57">
        <v>-0.28000000000000003</v>
      </c>
      <c r="C57">
        <v>0.38</v>
      </c>
      <c r="D57">
        <v>0.04</v>
      </c>
      <c r="E57">
        <v>0.48</v>
      </c>
      <c r="F57">
        <v>0.33</v>
      </c>
      <c r="G57">
        <v>1.1499999999999999</v>
      </c>
      <c r="H57">
        <v>0.99</v>
      </c>
      <c r="I57">
        <v>0.78</v>
      </c>
      <c r="J57" s="1" t="s">
        <v>74</v>
      </c>
    </row>
    <row r="58" spans="1:10">
      <c r="A58">
        <v>57</v>
      </c>
      <c r="B58">
        <v>-0.28000000000000003</v>
      </c>
      <c r="C58">
        <v>0.38</v>
      </c>
      <c r="D58">
        <v>0.04</v>
      </c>
      <c r="E58">
        <v>0.17</v>
      </c>
      <c r="F58">
        <v>-0.36</v>
      </c>
      <c r="G58">
        <v>-1.01</v>
      </c>
      <c r="H58">
        <v>-0.48</v>
      </c>
      <c r="I58">
        <v>0.78</v>
      </c>
      <c r="J58" s="1" t="s">
        <v>74</v>
      </c>
    </row>
    <row r="59" spans="1:10">
      <c r="A59">
        <v>58</v>
      </c>
      <c r="B59">
        <v>-0.83</v>
      </c>
      <c r="C59">
        <v>0.38</v>
      </c>
      <c r="D59">
        <v>-0.32</v>
      </c>
      <c r="E59">
        <v>-0.16</v>
      </c>
      <c r="F59">
        <v>0.33</v>
      </c>
      <c r="G59">
        <v>0.2</v>
      </c>
      <c r="H59">
        <v>-0.48</v>
      </c>
      <c r="I59">
        <v>-0.91</v>
      </c>
      <c r="J59" s="1" t="s">
        <v>74</v>
      </c>
    </row>
    <row r="60" spans="1:10">
      <c r="A60">
        <v>59</v>
      </c>
      <c r="B60">
        <v>-0.28000000000000003</v>
      </c>
      <c r="C60">
        <v>0.38</v>
      </c>
      <c r="D60">
        <v>0.04</v>
      </c>
      <c r="E60">
        <v>0.48</v>
      </c>
      <c r="F60">
        <v>0.33</v>
      </c>
      <c r="G60">
        <v>0.2</v>
      </c>
      <c r="H60">
        <v>-0.48</v>
      </c>
      <c r="I60">
        <v>0.45</v>
      </c>
      <c r="J60" s="1" t="s">
        <v>73</v>
      </c>
    </row>
    <row r="61" spans="1:10">
      <c r="A61">
        <v>60</v>
      </c>
      <c r="B61">
        <v>-0.28000000000000003</v>
      </c>
      <c r="C61">
        <v>0.38</v>
      </c>
      <c r="D61">
        <v>0.04</v>
      </c>
      <c r="E61">
        <v>0.17</v>
      </c>
      <c r="F61">
        <v>0.33</v>
      </c>
      <c r="G61">
        <v>1.1499999999999999</v>
      </c>
      <c r="H61">
        <v>-0.48</v>
      </c>
      <c r="I61">
        <v>-0.91</v>
      </c>
      <c r="J61" s="1" t="s">
        <v>73</v>
      </c>
    </row>
    <row r="62" spans="1:10">
      <c r="A62">
        <v>61</v>
      </c>
      <c r="B62">
        <v>-0.28000000000000003</v>
      </c>
      <c r="C62">
        <v>-0.89</v>
      </c>
      <c r="D62">
        <v>0.04</v>
      </c>
      <c r="E62">
        <v>0.17</v>
      </c>
      <c r="F62">
        <v>-0.36</v>
      </c>
      <c r="G62">
        <v>0.2</v>
      </c>
      <c r="H62">
        <v>-0.48</v>
      </c>
      <c r="I62">
        <v>0.78</v>
      </c>
      <c r="J62" s="1" t="s">
        <v>74</v>
      </c>
    </row>
    <row r="63" spans="1:10">
      <c r="A63">
        <v>62</v>
      </c>
      <c r="B63">
        <v>-0.83</v>
      </c>
      <c r="C63">
        <v>-0.89</v>
      </c>
      <c r="D63">
        <v>0.04</v>
      </c>
      <c r="E63">
        <v>-0.16</v>
      </c>
      <c r="F63">
        <v>0.33</v>
      </c>
      <c r="G63">
        <v>0.2</v>
      </c>
      <c r="H63">
        <v>-0.48</v>
      </c>
      <c r="I63">
        <v>0.45</v>
      </c>
      <c r="J63" s="1" t="s">
        <v>73</v>
      </c>
    </row>
    <row r="64" spans="1:10">
      <c r="A64">
        <v>63</v>
      </c>
      <c r="B64">
        <v>0.64</v>
      </c>
      <c r="C64">
        <v>0.38</v>
      </c>
      <c r="D64">
        <v>0.04</v>
      </c>
      <c r="E64">
        <v>0.17</v>
      </c>
      <c r="F64">
        <v>0.33</v>
      </c>
      <c r="G64">
        <v>0.2</v>
      </c>
      <c r="H64">
        <v>0.99</v>
      </c>
      <c r="I64">
        <v>0.78</v>
      </c>
      <c r="J64" s="1" t="s">
        <v>74</v>
      </c>
    </row>
    <row r="65" spans="1:10">
      <c r="A65">
        <v>64</v>
      </c>
      <c r="B65">
        <v>-0.28000000000000003</v>
      </c>
      <c r="C65">
        <v>-0.89</v>
      </c>
      <c r="D65">
        <v>0.04</v>
      </c>
      <c r="E65">
        <v>0.17</v>
      </c>
      <c r="F65">
        <v>-0.36</v>
      </c>
      <c r="G65">
        <v>-1.01</v>
      </c>
      <c r="H65">
        <v>-0.48</v>
      </c>
      <c r="I65">
        <v>-0.91</v>
      </c>
      <c r="J65" s="1" t="s">
        <v>73</v>
      </c>
    </row>
    <row r="66" spans="1:10">
      <c r="A66">
        <v>65</v>
      </c>
      <c r="B66">
        <v>-0.28000000000000003</v>
      </c>
      <c r="C66">
        <v>0.38</v>
      </c>
      <c r="D66">
        <v>-0.32</v>
      </c>
      <c r="E66">
        <v>-0.16</v>
      </c>
      <c r="F66">
        <v>-0.36</v>
      </c>
      <c r="G66">
        <v>1.1499999999999999</v>
      </c>
      <c r="H66">
        <v>-0.48</v>
      </c>
      <c r="I66">
        <v>0.78</v>
      </c>
      <c r="J66" s="1" t="s">
        <v>74</v>
      </c>
    </row>
    <row r="67" spans="1:10">
      <c r="A67">
        <v>66</v>
      </c>
      <c r="B67">
        <v>0.64</v>
      </c>
      <c r="C67">
        <v>0.38</v>
      </c>
      <c r="D67">
        <v>0.04</v>
      </c>
      <c r="E67">
        <v>0.48</v>
      </c>
      <c r="F67">
        <v>0.33</v>
      </c>
      <c r="G67">
        <v>0.2</v>
      </c>
      <c r="H67">
        <v>0.99</v>
      </c>
      <c r="I67">
        <v>0.78</v>
      </c>
      <c r="J67" s="1" t="s">
        <v>74</v>
      </c>
    </row>
    <row r="68" spans="1:10">
      <c r="A68">
        <v>67</v>
      </c>
      <c r="B68">
        <v>0.64</v>
      </c>
      <c r="C68">
        <v>0.38</v>
      </c>
      <c r="D68">
        <v>0.04</v>
      </c>
      <c r="E68">
        <v>-0.16</v>
      </c>
      <c r="F68">
        <v>0.33</v>
      </c>
      <c r="G68">
        <v>0.2</v>
      </c>
      <c r="H68">
        <v>2.42</v>
      </c>
      <c r="I68">
        <v>0.78</v>
      </c>
      <c r="J68" s="1" t="s">
        <v>74</v>
      </c>
    </row>
    <row r="69" spans="1:10">
      <c r="A69">
        <v>68</v>
      </c>
      <c r="B69">
        <v>-0.28000000000000003</v>
      </c>
      <c r="C69">
        <v>0.38</v>
      </c>
      <c r="D69">
        <v>0.04</v>
      </c>
      <c r="E69">
        <v>0.17</v>
      </c>
      <c r="F69">
        <v>0.33</v>
      </c>
      <c r="G69">
        <v>-1.01</v>
      </c>
      <c r="H69">
        <v>0.99</v>
      </c>
      <c r="I69">
        <v>-0.91</v>
      </c>
      <c r="J69" s="1" t="s">
        <v>73</v>
      </c>
    </row>
    <row r="70" spans="1:10">
      <c r="A70">
        <v>69</v>
      </c>
      <c r="B70">
        <v>0.64</v>
      </c>
      <c r="C70">
        <v>0.38</v>
      </c>
      <c r="D70">
        <v>0.56999999999999995</v>
      </c>
      <c r="E70">
        <v>0.17</v>
      </c>
      <c r="F70">
        <v>0.33</v>
      </c>
      <c r="G70">
        <v>0.2</v>
      </c>
      <c r="H70">
        <v>2.42</v>
      </c>
      <c r="I70">
        <v>0.45</v>
      </c>
      <c r="J70" s="1" t="s">
        <v>74</v>
      </c>
    </row>
    <row r="71" spans="1:10">
      <c r="A71">
        <v>70</v>
      </c>
      <c r="B71">
        <v>-0.83</v>
      </c>
      <c r="C71">
        <v>0.38</v>
      </c>
      <c r="D71">
        <v>0.04</v>
      </c>
      <c r="E71">
        <v>0.17</v>
      </c>
      <c r="F71">
        <v>-0.36</v>
      </c>
      <c r="G71">
        <v>0.2</v>
      </c>
      <c r="H71">
        <v>2.42</v>
      </c>
      <c r="I71">
        <v>0.78</v>
      </c>
      <c r="J71" s="1" t="s">
        <v>74</v>
      </c>
    </row>
    <row r="72" spans="1:10">
      <c r="A72">
        <v>71</v>
      </c>
      <c r="B72">
        <v>0.64</v>
      </c>
      <c r="C72">
        <v>-0.89</v>
      </c>
      <c r="D72">
        <v>0.56999999999999995</v>
      </c>
      <c r="E72">
        <v>0.48</v>
      </c>
      <c r="F72">
        <v>-0.36</v>
      </c>
      <c r="G72">
        <v>0.2</v>
      </c>
      <c r="H72">
        <v>-0.48</v>
      </c>
      <c r="I72">
        <v>-0.91</v>
      </c>
      <c r="J72" s="1" t="s">
        <v>73</v>
      </c>
    </row>
    <row r="73" spans="1:10">
      <c r="A73">
        <v>72</v>
      </c>
      <c r="B73">
        <v>0.17</v>
      </c>
      <c r="C73">
        <v>0.38</v>
      </c>
      <c r="D73">
        <v>0.04</v>
      </c>
      <c r="E73">
        <v>0.48</v>
      </c>
      <c r="F73">
        <v>-0.36</v>
      </c>
      <c r="G73">
        <v>-1.01</v>
      </c>
      <c r="H73">
        <v>-0.48</v>
      </c>
      <c r="I73">
        <v>0.78</v>
      </c>
      <c r="J73" s="1" t="s">
        <v>74</v>
      </c>
    </row>
    <row r="74" spans="1:10">
      <c r="A74">
        <v>73</v>
      </c>
      <c r="B74">
        <v>0.64</v>
      </c>
      <c r="C74">
        <v>0.38</v>
      </c>
      <c r="D74">
        <v>-0.32</v>
      </c>
      <c r="E74">
        <v>0.48</v>
      </c>
      <c r="F74">
        <v>-0.36</v>
      </c>
      <c r="G74">
        <v>2.11</v>
      </c>
      <c r="H74">
        <v>0.99</v>
      </c>
      <c r="I74">
        <v>0.78</v>
      </c>
      <c r="J74" s="1" t="s">
        <v>74</v>
      </c>
    </row>
    <row r="75" spans="1:10">
      <c r="A75">
        <v>74</v>
      </c>
      <c r="B75">
        <v>0.64</v>
      </c>
      <c r="C75">
        <v>0.38</v>
      </c>
      <c r="D75">
        <v>-0.32</v>
      </c>
      <c r="E75">
        <v>0.17</v>
      </c>
      <c r="F75">
        <v>0.33</v>
      </c>
      <c r="G75">
        <v>0.2</v>
      </c>
      <c r="H75">
        <v>-0.48</v>
      </c>
      <c r="I75">
        <v>-0.91</v>
      </c>
      <c r="J75" s="1" t="s">
        <v>74</v>
      </c>
    </row>
    <row r="76" spans="1:10">
      <c r="A76">
        <v>75</v>
      </c>
      <c r="B76">
        <v>-0.83</v>
      </c>
      <c r="C76">
        <v>0.38</v>
      </c>
      <c r="D76">
        <v>-0.32</v>
      </c>
      <c r="E76">
        <v>-0.16</v>
      </c>
      <c r="F76">
        <v>0.33</v>
      </c>
      <c r="G76">
        <v>-1.01</v>
      </c>
      <c r="H76">
        <v>-0.48</v>
      </c>
      <c r="I76">
        <v>-0.91</v>
      </c>
      <c r="J76" s="1" t="s">
        <v>74</v>
      </c>
    </row>
    <row r="77" spans="1:10">
      <c r="A77">
        <v>76</v>
      </c>
      <c r="B77">
        <v>0.64</v>
      </c>
      <c r="C77">
        <v>-0.89</v>
      </c>
      <c r="D77">
        <v>0.56999999999999995</v>
      </c>
      <c r="E77">
        <v>-0.35</v>
      </c>
      <c r="F77">
        <v>0.33</v>
      </c>
      <c r="G77">
        <v>0.2</v>
      </c>
      <c r="H77">
        <v>-0.48</v>
      </c>
      <c r="I77">
        <v>-0.91</v>
      </c>
      <c r="J77" s="1" t="s">
        <v>73</v>
      </c>
    </row>
    <row r="78" spans="1:10">
      <c r="A78">
        <v>77</v>
      </c>
      <c r="B78">
        <v>0.64</v>
      </c>
      <c r="C78">
        <v>0.38</v>
      </c>
      <c r="D78">
        <v>0.04</v>
      </c>
      <c r="E78">
        <v>0.48</v>
      </c>
      <c r="F78">
        <v>0.33</v>
      </c>
      <c r="G78">
        <v>0.2</v>
      </c>
      <c r="H78">
        <v>0.99</v>
      </c>
      <c r="I78">
        <v>0.78</v>
      </c>
      <c r="J78" s="1" t="s">
        <v>74</v>
      </c>
    </row>
    <row r="79" spans="1:10">
      <c r="A79">
        <v>78</v>
      </c>
      <c r="B79">
        <v>-0.28000000000000003</v>
      </c>
      <c r="C79">
        <v>-0.89</v>
      </c>
      <c r="D79">
        <v>0.04</v>
      </c>
      <c r="E79">
        <v>0.17</v>
      </c>
      <c r="F79">
        <v>0.33</v>
      </c>
      <c r="G79">
        <v>0.2</v>
      </c>
      <c r="H79">
        <v>-0.48</v>
      </c>
      <c r="I79">
        <v>-0.91</v>
      </c>
      <c r="J79" s="1" t="s">
        <v>73</v>
      </c>
    </row>
    <row r="80" spans="1:10">
      <c r="A80">
        <v>79</v>
      </c>
      <c r="B80">
        <v>-0.28000000000000003</v>
      </c>
      <c r="C80">
        <v>0.38</v>
      </c>
      <c r="D80">
        <v>0.04</v>
      </c>
      <c r="E80">
        <v>0.17</v>
      </c>
      <c r="F80">
        <v>0.33</v>
      </c>
      <c r="G80">
        <v>-1.01</v>
      </c>
      <c r="H80">
        <v>-0.48</v>
      </c>
      <c r="I80">
        <v>0.78</v>
      </c>
      <c r="J80" s="1" t="s">
        <v>73</v>
      </c>
    </row>
    <row r="81" spans="1:10">
      <c r="A81">
        <v>80</v>
      </c>
      <c r="B81">
        <v>0.64</v>
      </c>
      <c r="C81">
        <v>0.38</v>
      </c>
      <c r="D81">
        <v>0.04</v>
      </c>
      <c r="E81">
        <v>0.48</v>
      </c>
      <c r="F81">
        <v>0.33</v>
      </c>
      <c r="G81">
        <v>1.1499999999999999</v>
      </c>
      <c r="H81">
        <v>-0.48</v>
      </c>
      <c r="I81">
        <v>-0.91</v>
      </c>
      <c r="J81" s="1" t="s">
        <v>74</v>
      </c>
    </row>
    <row r="82" spans="1:10">
      <c r="A82">
        <v>81</v>
      </c>
      <c r="B82">
        <v>-0.83</v>
      </c>
      <c r="C82">
        <v>0.38</v>
      </c>
      <c r="D82">
        <v>-0.32</v>
      </c>
      <c r="E82">
        <v>0.17</v>
      </c>
      <c r="F82">
        <v>0.33</v>
      </c>
      <c r="G82">
        <v>0.2</v>
      </c>
      <c r="H82">
        <v>2.42</v>
      </c>
      <c r="I82">
        <v>0.78</v>
      </c>
      <c r="J82" s="1" t="s">
        <v>73</v>
      </c>
    </row>
    <row r="83" spans="1:10">
      <c r="A83">
        <v>82</v>
      </c>
      <c r="B83">
        <v>-0.28000000000000003</v>
      </c>
      <c r="C83">
        <v>-0.89</v>
      </c>
      <c r="D83">
        <v>0.04</v>
      </c>
      <c r="E83">
        <v>0.48</v>
      </c>
      <c r="F83">
        <v>0.33</v>
      </c>
      <c r="G83">
        <v>0.2</v>
      </c>
      <c r="H83">
        <v>-0.48</v>
      </c>
      <c r="I83">
        <v>0.78</v>
      </c>
      <c r="J83" s="1" t="s">
        <v>73</v>
      </c>
    </row>
    <row r="84" spans="1:10">
      <c r="A84">
        <v>83</v>
      </c>
      <c r="B84">
        <v>-0.83</v>
      </c>
      <c r="C84">
        <v>0.38</v>
      </c>
      <c r="D84">
        <v>0.04</v>
      </c>
      <c r="E84">
        <v>0.17</v>
      </c>
      <c r="F84">
        <v>0.33</v>
      </c>
      <c r="G84">
        <v>-1.01</v>
      </c>
      <c r="H84">
        <v>-0.48</v>
      </c>
      <c r="I84">
        <v>-0.91</v>
      </c>
      <c r="J84" s="1" t="s">
        <v>73</v>
      </c>
    </row>
    <row r="85" spans="1:10">
      <c r="A85">
        <v>84</v>
      </c>
      <c r="B85">
        <v>0.17</v>
      </c>
      <c r="C85">
        <v>0.38</v>
      </c>
      <c r="D85">
        <v>1.55</v>
      </c>
      <c r="E85">
        <v>0.48</v>
      </c>
      <c r="F85">
        <v>0.33</v>
      </c>
      <c r="G85">
        <v>0.2</v>
      </c>
      <c r="H85">
        <v>0.99</v>
      </c>
      <c r="I85">
        <v>0.78</v>
      </c>
      <c r="J85" s="1" t="s">
        <v>74</v>
      </c>
    </row>
    <row r="86" spans="1:10">
      <c r="A86">
        <v>85</v>
      </c>
      <c r="B86">
        <v>-0.28000000000000003</v>
      </c>
      <c r="C86">
        <v>0.38</v>
      </c>
      <c r="D86">
        <v>-0.32</v>
      </c>
      <c r="E86">
        <v>0.17</v>
      </c>
      <c r="F86">
        <v>-0.36</v>
      </c>
      <c r="G86">
        <v>-1.01</v>
      </c>
      <c r="H86">
        <v>-0.48</v>
      </c>
      <c r="I86">
        <v>-0.91</v>
      </c>
      <c r="J86" s="1" t="s">
        <v>73</v>
      </c>
    </row>
    <row r="87" spans="1:10">
      <c r="A87">
        <v>86</v>
      </c>
      <c r="B87">
        <v>-0.83</v>
      </c>
      <c r="C87">
        <v>0.38</v>
      </c>
      <c r="D87">
        <v>0.04</v>
      </c>
      <c r="E87">
        <v>0.17</v>
      </c>
      <c r="F87">
        <v>0.33</v>
      </c>
      <c r="G87">
        <v>-1.01</v>
      </c>
      <c r="H87">
        <v>-0.48</v>
      </c>
      <c r="I87">
        <v>-0.91</v>
      </c>
      <c r="J87" s="1" t="s">
        <v>73</v>
      </c>
    </row>
    <row r="88" spans="1:10">
      <c r="A88">
        <v>87</v>
      </c>
      <c r="B88">
        <v>-0.28000000000000003</v>
      </c>
      <c r="C88">
        <v>0.38</v>
      </c>
      <c r="D88">
        <v>0.04</v>
      </c>
      <c r="E88">
        <v>0.48</v>
      </c>
      <c r="F88">
        <v>0.33</v>
      </c>
      <c r="G88">
        <v>0.2</v>
      </c>
      <c r="H88">
        <v>-0.48</v>
      </c>
      <c r="I88">
        <v>-0.91</v>
      </c>
      <c r="J88" s="1" t="s">
        <v>73</v>
      </c>
    </row>
    <row r="89" spans="1:10">
      <c r="A89">
        <v>88</v>
      </c>
      <c r="B89">
        <v>-0.28000000000000003</v>
      </c>
      <c r="C89">
        <v>-0.89</v>
      </c>
      <c r="D89">
        <v>0.04</v>
      </c>
      <c r="E89">
        <v>0.17</v>
      </c>
      <c r="F89">
        <v>0.33</v>
      </c>
      <c r="G89">
        <v>1.1499999999999999</v>
      </c>
      <c r="H89">
        <v>-0.48</v>
      </c>
      <c r="I89">
        <v>-0.91</v>
      </c>
      <c r="J89" s="1" t="s">
        <v>73</v>
      </c>
    </row>
    <row r="90" spans="1:10">
      <c r="A90">
        <v>89</v>
      </c>
      <c r="B90">
        <v>-0.28000000000000003</v>
      </c>
      <c r="C90">
        <v>-0.89</v>
      </c>
      <c r="D90">
        <v>0.04</v>
      </c>
      <c r="E90">
        <v>0.17</v>
      </c>
      <c r="F90">
        <v>0.33</v>
      </c>
      <c r="G90">
        <v>0.2</v>
      </c>
      <c r="H90">
        <v>-0.48</v>
      </c>
      <c r="I90">
        <v>-0.91</v>
      </c>
      <c r="J90" s="1" t="s">
        <v>73</v>
      </c>
    </row>
    <row r="91" spans="1:10">
      <c r="A91">
        <v>90</v>
      </c>
      <c r="B91">
        <v>-0.28000000000000003</v>
      </c>
      <c r="C91">
        <v>-0.89</v>
      </c>
      <c r="D91">
        <v>0.04</v>
      </c>
      <c r="E91">
        <v>0.48</v>
      </c>
      <c r="F91">
        <v>0.33</v>
      </c>
      <c r="G91">
        <v>0.2</v>
      </c>
      <c r="H91">
        <v>-0.48</v>
      </c>
      <c r="I91">
        <v>-0.91</v>
      </c>
      <c r="J91" s="1" t="s">
        <v>73</v>
      </c>
    </row>
    <row r="92" spans="1:10">
      <c r="A92">
        <v>91</v>
      </c>
      <c r="B92">
        <v>0.64</v>
      </c>
      <c r="C92">
        <v>0.38</v>
      </c>
      <c r="D92">
        <v>-0.32</v>
      </c>
      <c r="E92">
        <v>0.17</v>
      </c>
      <c r="F92">
        <v>0.33</v>
      </c>
      <c r="G92">
        <v>0.2</v>
      </c>
      <c r="H92">
        <v>-0.48</v>
      </c>
      <c r="I92">
        <v>0.78</v>
      </c>
      <c r="J92" s="1" t="s">
        <v>73</v>
      </c>
    </row>
    <row r="93" spans="1:10">
      <c r="A93">
        <v>92</v>
      </c>
      <c r="B93">
        <v>0.64</v>
      </c>
      <c r="C93">
        <v>-0.89</v>
      </c>
      <c r="D93">
        <v>0.56999999999999995</v>
      </c>
      <c r="E93">
        <v>-0.16</v>
      </c>
      <c r="F93">
        <v>0.33</v>
      </c>
      <c r="G93">
        <v>0.2</v>
      </c>
      <c r="H93">
        <v>1.55</v>
      </c>
      <c r="I93">
        <v>0.45</v>
      </c>
      <c r="J93" s="1" t="s">
        <v>74</v>
      </c>
    </row>
    <row r="94" spans="1:10">
      <c r="A94">
        <v>93</v>
      </c>
      <c r="B94">
        <v>0.64</v>
      </c>
      <c r="C94">
        <v>0.38</v>
      </c>
      <c r="D94">
        <v>0.04</v>
      </c>
      <c r="E94">
        <v>0.17</v>
      </c>
      <c r="F94">
        <v>-0.36</v>
      </c>
      <c r="G94">
        <v>0.2</v>
      </c>
      <c r="H94">
        <v>0.99</v>
      </c>
      <c r="I94">
        <v>0.78</v>
      </c>
      <c r="J94" s="1" t="s">
        <v>73</v>
      </c>
    </row>
    <row r="95" spans="1:10">
      <c r="A95">
        <v>94</v>
      </c>
      <c r="B95">
        <v>-0.83</v>
      </c>
      <c r="C95">
        <v>-0.89</v>
      </c>
      <c r="D95">
        <v>-0.32</v>
      </c>
      <c r="E95">
        <v>-0.16</v>
      </c>
      <c r="F95">
        <v>-0.36</v>
      </c>
      <c r="G95">
        <v>-1.01</v>
      </c>
      <c r="H95">
        <v>-0.48</v>
      </c>
      <c r="I95">
        <v>0.78</v>
      </c>
      <c r="J95" s="1" t="s">
        <v>73</v>
      </c>
    </row>
    <row r="96" spans="1:10">
      <c r="A96">
        <v>95</v>
      </c>
      <c r="B96">
        <v>0.64</v>
      </c>
      <c r="C96">
        <v>-0.89</v>
      </c>
      <c r="D96">
        <v>0.04</v>
      </c>
      <c r="E96">
        <v>0.48</v>
      </c>
      <c r="F96">
        <v>0.33</v>
      </c>
      <c r="G96">
        <v>-1.01</v>
      </c>
      <c r="H96">
        <v>-0.48</v>
      </c>
      <c r="I96">
        <v>-0.91</v>
      </c>
      <c r="J96" s="1" t="s">
        <v>73</v>
      </c>
    </row>
    <row r="97" spans="1:10">
      <c r="A97">
        <v>96</v>
      </c>
      <c r="B97">
        <v>-0.28000000000000003</v>
      </c>
      <c r="C97">
        <v>0.38</v>
      </c>
      <c r="D97">
        <v>0.04</v>
      </c>
      <c r="E97">
        <v>0.48</v>
      </c>
      <c r="F97">
        <v>-0.36</v>
      </c>
      <c r="G97">
        <v>-1.01</v>
      </c>
      <c r="H97">
        <v>-0.48</v>
      </c>
      <c r="I97">
        <v>-0.91</v>
      </c>
      <c r="J97" s="1" t="s">
        <v>74</v>
      </c>
    </row>
    <row r="98" spans="1:10">
      <c r="A98">
        <v>97</v>
      </c>
      <c r="B98">
        <v>0.64</v>
      </c>
      <c r="C98">
        <v>0.38</v>
      </c>
      <c r="D98">
        <v>-0.32</v>
      </c>
      <c r="E98">
        <v>0.17</v>
      </c>
      <c r="F98">
        <v>0.33</v>
      </c>
      <c r="G98">
        <v>0.2</v>
      </c>
      <c r="H98">
        <v>-0.48</v>
      </c>
      <c r="I98">
        <v>0.78</v>
      </c>
      <c r="J98" s="1" t="s">
        <v>74</v>
      </c>
    </row>
    <row r="99" spans="1:10">
      <c r="A99">
        <v>98</v>
      </c>
      <c r="B99">
        <v>0.64</v>
      </c>
      <c r="C99">
        <v>-0.89</v>
      </c>
      <c r="D99">
        <v>0.04</v>
      </c>
      <c r="E99">
        <v>0.48</v>
      </c>
      <c r="F99">
        <v>0.33</v>
      </c>
      <c r="G99">
        <v>0.2</v>
      </c>
      <c r="H99">
        <v>0.99</v>
      </c>
      <c r="I99">
        <v>0.78</v>
      </c>
      <c r="J99" s="1" t="s">
        <v>74</v>
      </c>
    </row>
    <row r="100" spans="1:10">
      <c r="A100">
        <v>99</v>
      </c>
      <c r="B100">
        <v>-0.28000000000000003</v>
      </c>
      <c r="C100">
        <v>0.38</v>
      </c>
      <c r="D100">
        <v>0.04</v>
      </c>
      <c r="E100">
        <v>0.17</v>
      </c>
      <c r="F100">
        <v>-0.36</v>
      </c>
      <c r="G100">
        <v>0.2</v>
      </c>
      <c r="H100">
        <v>-0.48</v>
      </c>
      <c r="I100">
        <v>-0.91</v>
      </c>
      <c r="J100" s="1" t="s">
        <v>73</v>
      </c>
    </row>
    <row r="101" spans="1:10">
      <c r="A101">
        <v>100</v>
      </c>
      <c r="B101">
        <v>-0.28000000000000003</v>
      </c>
      <c r="C101">
        <v>0.38</v>
      </c>
      <c r="D101">
        <v>0.04</v>
      </c>
      <c r="E101">
        <v>0.17</v>
      </c>
      <c r="F101">
        <v>0.33</v>
      </c>
      <c r="G101">
        <v>-1.01</v>
      </c>
      <c r="H101">
        <v>-0.48</v>
      </c>
      <c r="I101">
        <v>-0.91</v>
      </c>
      <c r="J101" s="1" t="s">
        <v>73</v>
      </c>
    </row>
    <row r="102" spans="1:10">
      <c r="A102">
        <v>101</v>
      </c>
      <c r="B102">
        <v>-0.83</v>
      </c>
      <c r="C102">
        <v>0.38</v>
      </c>
      <c r="D102">
        <v>-0.32</v>
      </c>
      <c r="E102">
        <v>0.48</v>
      </c>
      <c r="F102">
        <v>0.33</v>
      </c>
      <c r="G102">
        <v>-1.01</v>
      </c>
      <c r="H102">
        <v>-0.48</v>
      </c>
      <c r="I102">
        <v>-0.91</v>
      </c>
      <c r="J102" s="1" t="s">
        <v>73</v>
      </c>
    </row>
    <row r="103" spans="1:10">
      <c r="A103">
        <v>102</v>
      </c>
      <c r="B103">
        <v>-0.75</v>
      </c>
      <c r="C103">
        <v>0.38</v>
      </c>
      <c r="D103">
        <v>-0.32</v>
      </c>
      <c r="E103">
        <v>-0.16</v>
      </c>
      <c r="F103">
        <v>0.33</v>
      </c>
      <c r="G103">
        <v>-1.01</v>
      </c>
      <c r="H103">
        <v>-0.48</v>
      </c>
      <c r="I103">
        <v>-0.91</v>
      </c>
      <c r="J103" s="1" t="s">
        <v>73</v>
      </c>
    </row>
    <row r="104" spans="1:10">
      <c r="A104">
        <v>103</v>
      </c>
      <c r="B104">
        <v>0.64</v>
      </c>
      <c r="C104">
        <v>-0.89</v>
      </c>
      <c r="D104">
        <v>0.04</v>
      </c>
      <c r="E104">
        <v>0.17</v>
      </c>
      <c r="F104">
        <v>0.33</v>
      </c>
      <c r="G104">
        <v>0.2</v>
      </c>
      <c r="H104">
        <v>-0.48</v>
      </c>
      <c r="I104">
        <v>-0.91</v>
      </c>
      <c r="J104" s="1" t="s">
        <v>73</v>
      </c>
    </row>
    <row r="105" spans="1:10">
      <c r="A105">
        <v>104</v>
      </c>
      <c r="B105">
        <v>0.17</v>
      </c>
      <c r="C105">
        <v>-0.89</v>
      </c>
      <c r="D105">
        <v>-0.32</v>
      </c>
      <c r="E105">
        <v>0.48</v>
      </c>
      <c r="F105">
        <v>0.33</v>
      </c>
      <c r="G105">
        <v>1.1499999999999999</v>
      </c>
      <c r="H105">
        <v>-0.48</v>
      </c>
      <c r="I105">
        <v>-0.91</v>
      </c>
      <c r="J105" s="1" t="s">
        <v>73</v>
      </c>
    </row>
    <row r="106" spans="1:10">
      <c r="A106">
        <v>105</v>
      </c>
      <c r="B106">
        <v>-0.28000000000000003</v>
      </c>
      <c r="C106">
        <v>0.38</v>
      </c>
      <c r="D106">
        <v>-0.32</v>
      </c>
      <c r="E106">
        <v>-0.16</v>
      </c>
      <c r="F106">
        <v>-0.36</v>
      </c>
      <c r="G106">
        <v>0.2</v>
      </c>
      <c r="H106">
        <v>0.99</v>
      </c>
      <c r="I106">
        <v>0.78</v>
      </c>
      <c r="J106" s="1" t="s">
        <v>74</v>
      </c>
    </row>
    <row r="107" spans="1:10">
      <c r="A107">
        <v>106</v>
      </c>
      <c r="B107">
        <v>-0.28000000000000003</v>
      </c>
      <c r="C107">
        <v>0.38</v>
      </c>
      <c r="D107">
        <v>-0.32</v>
      </c>
      <c r="E107">
        <v>0.17</v>
      </c>
      <c r="F107">
        <v>-0.36</v>
      </c>
      <c r="G107">
        <v>0.2</v>
      </c>
      <c r="H107">
        <v>-0.48</v>
      </c>
      <c r="I107">
        <v>-0.91</v>
      </c>
      <c r="J107" s="1" t="s">
        <v>73</v>
      </c>
    </row>
    <row r="108" spans="1:10">
      <c r="A108">
        <v>107</v>
      </c>
      <c r="B108">
        <v>0.64</v>
      </c>
      <c r="C108">
        <v>0.38</v>
      </c>
      <c r="D108">
        <v>0.04</v>
      </c>
      <c r="E108">
        <v>-0.16</v>
      </c>
      <c r="F108">
        <v>-0.36</v>
      </c>
      <c r="G108">
        <v>-1.01</v>
      </c>
      <c r="H108">
        <v>-0.48</v>
      </c>
      <c r="I108">
        <v>-0.91</v>
      </c>
      <c r="J108" s="1" t="s">
        <v>74</v>
      </c>
    </row>
    <row r="109" spans="1:10">
      <c r="A109">
        <v>108</v>
      </c>
      <c r="B109">
        <v>0.64</v>
      </c>
      <c r="C109">
        <v>0.38</v>
      </c>
      <c r="D109">
        <v>0.04</v>
      </c>
      <c r="E109">
        <v>0.17</v>
      </c>
      <c r="F109">
        <v>0.33</v>
      </c>
      <c r="G109">
        <v>0.2</v>
      </c>
      <c r="H109">
        <v>-0.48</v>
      </c>
      <c r="I109">
        <v>0.78</v>
      </c>
      <c r="J109" s="1" t="s">
        <v>74</v>
      </c>
    </row>
    <row r="110" spans="1:10">
      <c r="A110">
        <v>109</v>
      </c>
      <c r="B110">
        <v>0.64</v>
      </c>
      <c r="C110">
        <v>0.38</v>
      </c>
      <c r="D110">
        <v>-0.32</v>
      </c>
      <c r="E110">
        <v>0.48</v>
      </c>
      <c r="F110">
        <v>-0.36</v>
      </c>
      <c r="G110">
        <v>0.2</v>
      </c>
      <c r="H110">
        <v>2.42</v>
      </c>
      <c r="I110">
        <v>0.78</v>
      </c>
      <c r="J110" s="1" t="s">
        <v>74</v>
      </c>
    </row>
    <row r="111" spans="1:10">
      <c r="A111">
        <v>110</v>
      </c>
      <c r="B111">
        <v>-0.83</v>
      </c>
      <c r="C111">
        <v>0.38</v>
      </c>
      <c r="D111">
        <v>-0.32</v>
      </c>
      <c r="E111">
        <v>0.17</v>
      </c>
      <c r="F111">
        <v>-0.36</v>
      </c>
      <c r="G111">
        <v>0.2</v>
      </c>
      <c r="H111">
        <v>-0.48</v>
      </c>
      <c r="I111">
        <v>0.78</v>
      </c>
      <c r="J111" s="1" t="s">
        <v>74</v>
      </c>
    </row>
    <row r="112" spans="1:10">
      <c r="A112">
        <v>111</v>
      </c>
      <c r="B112">
        <v>0.64</v>
      </c>
      <c r="C112">
        <v>-0.89</v>
      </c>
      <c r="D112">
        <v>0.04</v>
      </c>
      <c r="E112">
        <v>0.17</v>
      </c>
      <c r="F112">
        <v>0.33</v>
      </c>
      <c r="G112">
        <v>0.2</v>
      </c>
      <c r="H112">
        <v>-0.48</v>
      </c>
      <c r="I112">
        <v>0.78</v>
      </c>
      <c r="J112" s="1" t="s">
        <v>74</v>
      </c>
    </row>
    <row r="113" spans="1:10">
      <c r="A113">
        <v>112</v>
      </c>
      <c r="B113">
        <v>-0.28000000000000003</v>
      </c>
      <c r="C113">
        <v>0.38</v>
      </c>
      <c r="D113">
        <v>0.04</v>
      </c>
      <c r="E113">
        <v>0.17</v>
      </c>
      <c r="F113">
        <v>0.33</v>
      </c>
      <c r="G113">
        <v>0.2</v>
      </c>
      <c r="H113">
        <v>-0.48</v>
      </c>
      <c r="I113">
        <v>0.78</v>
      </c>
      <c r="J113" s="1" t="s">
        <v>74</v>
      </c>
    </row>
    <row r="114" spans="1:10">
      <c r="A114">
        <v>113</v>
      </c>
      <c r="B114">
        <v>-0.28000000000000003</v>
      </c>
      <c r="C114">
        <v>0.38</v>
      </c>
      <c r="D114">
        <v>-0.32</v>
      </c>
      <c r="E114">
        <v>-0.16</v>
      </c>
      <c r="F114">
        <v>0.33</v>
      </c>
      <c r="G114">
        <v>-1.01</v>
      </c>
      <c r="H114">
        <v>-0.48</v>
      </c>
      <c r="I114">
        <v>0.78</v>
      </c>
      <c r="J114" s="1" t="s">
        <v>73</v>
      </c>
    </row>
    <row r="115" spans="1:10">
      <c r="A115">
        <v>114</v>
      </c>
      <c r="B115">
        <v>-0.83</v>
      </c>
      <c r="C115">
        <v>-0.89</v>
      </c>
      <c r="D115">
        <v>0.04</v>
      </c>
      <c r="E115">
        <v>0.17</v>
      </c>
      <c r="F115">
        <v>0.33</v>
      </c>
      <c r="G115">
        <v>0.2</v>
      </c>
      <c r="H115">
        <v>2.42</v>
      </c>
      <c r="I115">
        <v>0.78</v>
      </c>
      <c r="J115" s="1" t="s">
        <v>74</v>
      </c>
    </row>
    <row r="116" spans="1:10">
      <c r="A116">
        <v>115</v>
      </c>
      <c r="B116">
        <v>0.64</v>
      </c>
      <c r="C116">
        <v>-0.89</v>
      </c>
      <c r="D116">
        <v>0.04</v>
      </c>
      <c r="E116">
        <v>0.48</v>
      </c>
      <c r="F116">
        <v>-0.36</v>
      </c>
      <c r="G116">
        <v>2.11</v>
      </c>
      <c r="H116">
        <v>-0.48</v>
      </c>
      <c r="I116">
        <v>0.78</v>
      </c>
      <c r="J116" s="1" t="s">
        <v>74</v>
      </c>
    </row>
    <row r="117" spans="1:10">
      <c r="A117">
        <v>116</v>
      </c>
      <c r="B117">
        <v>-0.83</v>
      </c>
      <c r="C117">
        <v>0.38</v>
      </c>
      <c r="D117">
        <v>0.04</v>
      </c>
      <c r="E117">
        <v>0.17</v>
      </c>
      <c r="F117">
        <v>-0.36</v>
      </c>
      <c r="G117">
        <v>0.2</v>
      </c>
      <c r="H117">
        <v>-0.48</v>
      </c>
      <c r="I117">
        <v>0.78</v>
      </c>
      <c r="J117" s="1" t="s">
        <v>73</v>
      </c>
    </row>
    <row r="118" spans="1:10">
      <c r="A118">
        <v>117</v>
      </c>
      <c r="B118">
        <v>0.64</v>
      </c>
      <c r="C118">
        <v>0.38</v>
      </c>
      <c r="D118">
        <v>0.04</v>
      </c>
      <c r="E118">
        <v>0.17</v>
      </c>
      <c r="F118">
        <v>0.33</v>
      </c>
      <c r="G118">
        <v>-1.01</v>
      </c>
      <c r="H118">
        <v>-0.48</v>
      </c>
      <c r="I118">
        <v>-0.91</v>
      </c>
      <c r="J118" s="1" t="s">
        <v>73</v>
      </c>
    </row>
    <row r="119" spans="1:10">
      <c r="A119">
        <v>118</v>
      </c>
      <c r="B119">
        <v>-0.75</v>
      </c>
      <c r="C119">
        <v>-0.89</v>
      </c>
      <c r="D119">
        <v>0.04</v>
      </c>
      <c r="E119">
        <v>-0.16</v>
      </c>
      <c r="F119">
        <v>-0.36</v>
      </c>
      <c r="G119">
        <v>-1.01</v>
      </c>
      <c r="H119">
        <v>-0.48</v>
      </c>
      <c r="I119">
        <v>-0.91</v>
      </c>
      <c r="J119" s="1" t="s">
        <v>73</v>
      </c>
    </row>
    <row r="120" spans="1:10">
      <c r="A120">
        <v>119</v>
      </c>
      <c r="B120">
        <v>0.64</v>
      </c>
      <c r="C120">
        <v>0.38</v>
      </c>
      <c r="D120">
        <v>0.04</v>
      </c>
      <c r="E120">
        <v>0.17</v>
      </c>
      <c r="F120">
        <v>0.33</v>
      </c>
      <c r="G120">
        <v>0.2</v>
      </c>
      <c r="H120">
        <v>0.99</v>
      </c>
      <c r="I120">
        <v>-0.91</v>
      </c>
      <c r="J120" s="1" t="s">
        <v>74</v>
      </c>
    </row>
    <row r="121" spans="1:10">
      <c r="A121">
        <v>120</v>
      </c>
      <c r="B121">
        <v>0.64</v>
      </c>
      <c r="C121">
        <v>0.38</v>
      </c>
      <c r="D121">
        <v>0.04</v>
      </c>
      <c r="E121">
        <v>0.48</v>
      </c>
      <c r="F121">
        <v>0.33</v>
      </c>
      <c r="G121">
        <v>1.1499999999999999</v>
      </c>
      <c r="H121">
        <v>0.99</v>
      </c>
      <c r="I121">
        <v>0.78</v>
      </c>
      <c r="J121" s="1" t="s">
        <v>74</v>
      </c>
    </row>
    <row r="122" spans="1:10">
      <c r="A122">
        <v>121</v>
      </c>
      <c r="B122">
        <v>-0.28000000000000003</v>
      </c>
      <c r="C122">
        <v>0.38</v>
      </c>
      <c r="D122">
        <v>0.04</v>
      </c>
      <c r="E122">
        <v>0.48</v>
      </c>
      <c r="F122">
        <v>0.33</v>
      </c>
      <c r="G122">
        <v>0.2</v>
      </c>
      <c r="H122">
        <v>-0.48</v>
      </c>
      <c r="I122">
        <v>-0.91</v>
      </c>
      <c r="J122" s="1" t="s">
        <v>74</v>
      </c>
    </row>
    <row r="123" spans="1:10">
      <c r="A123">
        <v>122</v>
      </c>
      <c r="B123">
        <v>0.64</v>
      </c>
      <c r="C123">
        <v>-0.89</v>
      </c>
      <c r="D123">
        <v>0.04</v>
      </c>
      <c r="E123">
        <v>-0.35</v>
      </c>
      <c r="F123">
        <v>0.33</v>
      </c>
      <c r="G123">
        <v>0.2</v>
      </c>
      <c r="H123">
        <v>2.42</v>
      </c>
      <c r="I123">
        <v>0.78</v>
      </c>
      <c r="J123" s="1" t="s">
        <v>74</v>
      </c>
    </row>
    <row r="124" spans="1:10">
      <c r="A124">
        <v>123</v>
      </c>
      <c r="B124">
        <v>-0.28000000000000003</v>
      </c>
      <c r="C124">
        <v>0.38</v>
      </c>
      <c r="D124">
        <v>-0.32</v>
      </c>
      <c r="E124">
        <v>0.17</v>
      </c>
      <c r="F124">
        <v>-0.36</v>
      </c>
      <c r="G124">
        <v>0.2</v>
      </c>
      <c r="H124">
        <v>-0.48</v>
      </c>
      <c r="I124">
        <v>0.78</v>
      </c>
      <c r="J124" s="1" t="s">
        <v>73</v>
      </c>
    </row>
    <row r="125" spans="1:10">
      <c r="A125">
        <v>124</v>
      </c>
      <c r="B125">
        <v>-0.28000000000000003</v>
      </c>
      <c r="C125">
        <v>0.38</v>
      </c>
      <c r="D125">
        <v>0.04</v>
      </c>
      <c r="E125">
        <v>0.17</v>
      </c>
      <c r="F125">
        <v>-0.36</v>
      </c>
      <c r="G125">
        <v>1.1499999999999999</v>
      </c>
      <c r="H125">
        <v>1.55</v>
      </c>
      <c r="I125">
        <v>0.45</v>
      </c>
      <c r="J125" s="1" t="s">
        <v>74</v>
      </c>
    </row>
    <row r="126" spans="1:10">
      <c r="A126">
        <v>125</v>
      </c>
      <c r="B126">
        <v>0.64</v>
      </c>
      <c r="C126">
        <v>0.38</v>
      </c>
      <c r="D126">
        <v>0.04</v>
      </c>
      <c r="E126">
        <v>0.48</v>
      </c>
      <c r="F126">
        <v>0.33</v>
      </c>
      <c r="G126">
        <v>-1.01</v>
      </c>
      <c r="H126">
        <v>-0.48</v>
      </c>
      <c r="I126">
        <v>0.78</v>
      </c>
      <c r="J126" s="1" t="s">
        <v>74</v>
      </c>
    </row>
    <row r="127" spans="1:10">
      <c r="A127">
        <v>126</v>
      </c>
      <c r="B127">
        <v>-0.83</v>
      </c>
      <c r="C127">
        <v>-0.89</v>
      </c>
      <c r="D127">
        <v>0.04</v>
      </c>
      <c r="E127">
        <v>0.17</v>
      </c>
      <c r="F127">
        <v>0.33</v>
      </c>
      <c r="G127">
        <v>-1.01</v>
      </c>
      <c r="H127">
        <v>-0.48</v>
      </c>
      <c r="I127">
        <v>0.78</v>
      </c>
      <c r="J127" s="1" t="s">
        <v>73</v>
      </c>
    </row>
    <row r="128" spans="1:10">
      <c r="A128">
        <v>127</v>
      </c>
      <c r="B128">
        <v>-0.28000000000000003</v>
      </c>
      <c r="C128">
        <v>-0.89</v>
      </c>
      <c r="D128">
        <v>1.55</v>
      </c>
      <c r="E128">
        <v>0.48</v>
      </c>
      <c r="F128">
        <v>0.33</v>
      </c>
      <c r="G128">
        <v>0.2</v>
      </c>
      <c r="H128">
        <v>2.42</v>
      </c>
      <c r="I128">
        <v>0.45</v>
      </c>
      <c r="J128" s="1" t="s">
        <v>74</v>
      </c>
    </row>
    <row r="129" spans="1:10">
      <c r="A129">
        <v>128</v>
      </c>
      <c r="B129">
        <v>-0.28000000000000003</v>
      </c>
      <c r="C129">
        <v>0.38</v>
      </c>
      <c r="D129">
        <v>-0.32</v>
      </c>
      <c r="E129">
        <v>0.17</v>
      </c>
      <c r="F129">
        <v>-0.36</v>
      </c>
      <c r="G129">
        <v>1.1499999999999999</v>
      </c>
      <c r="H129">
        <v>0.99</v>
      </c>
      <c r="I129">
        <v>0.78</v>
      </c>
      <c r="J129" s="1" t="s">
        <v>74</v>
      </c>
    </row>
    <row r="130" spans="1:10">
      <c r="A130">
        <v>129</v>
      </c>
      <c r="B130">
        <v>-0.83</v>
      </c>
      <c r="C130">
        <v>0.38</v>
      </c>
      <c r="D130">
        <v>-0.32</v>
      </c>
      <c r="E130">
        <v>0.17</v>
      </c>
      <c r="F130">
        <v>-0.36</v>
      </c>
      <c r="G130">
        <v>-1.01</v>
      </c>
      <c r="H130">
        <v>-0.48</v>
      </c>
      <c r="I130">
        <v>-0.91</v>
      </c>
      <c r="J130" s="1" t="s">
        <v>73</v>
      </c>
    </row>
    <row r="131" spans="1:10">
      <c r="A131">
        <v>130</v>
      </c>
      <c r="B131">
        <v>0.64</v>
      </c>
      <c r="C131">
        <v>-0.89</v>
      </c>
      <c r="D131">
        <v>0.04</v>
      </c>
      <c r="E131">
        <v>0.17</v>
      </c>
      <c r="F131">
        <v>-0.36</v>
      </c>
      <c r="G131">
        <v>-1.01</v>
      </c>
      <c r="H131">
        <v>-0.48</v>
      </c>
      <c r="I131">
        <v>-0.91</v>
      </c>
      <c r="J131" s="1" t="s">
        <v>73</v>
      </c>
    </row>
    <row r="132" spans="1:10">
      <c r="A132">
        <v>131</v>
      </c>
      <c r="B132">
        <v>-0.28000000000000003</v>
      </c>
      <c r="C132">
        <v>0.38</v>
      </c>
      <c r="D132">
        <v>-0.32</v>
      </c>
      <c r="E132">
        <v>0.48</v>
      </c>
      <c r="F132">
        <v>0.33</v>
      </c>
      <c r="G132">
        <v>0.2</v>
      </c>
      <c r="H132">
        <v>-0.48</v>
      </c>
      <c r="I132">
        <v>0.78</v>
      </c>
      <c r="J132" s="1" t="s">
        <v>73</v>
      </c>
    </row>
    <row r="133" spans="1:10">
      <c r="A133">
        <v>132</v>
      </c>
      <c r="B133">
        <v>-0.28000000000000003</v>
      </c>
      <c r="C133">
        <v>0.38</v>
      </c>
      <c r="D133">
        <v>-0.32</v>
      </c>
      <c r="E133">
        <v>0.17</v>
      </c>
      <c r="F133">
        <v>-0.36</v>
      </c>
      <c r="G133">
        <v>0.2</v>
      </c>
      <c r="H133">
        <v>-0.48</v>
      </c>
      <c r="I133">
        <v>-0.91</v>
      </c>
      <c r="J133" s="1" t="s">
        <v>73</v>
      </c>
    </row>
    <row r="134" spans="1:10">
      <c r="A134">
        <v>133</v>
      </c>
      <c r="B134">
        <v>-0.75</v>
      </c>
      <c r="C134">
        <v>0.38</v>
      </c>
      <c r="D134">
        <v>0.04</v>
      </c>
      <c r="E134">
        <v>0.17</v>
      </c>
      <c r="F134">
        <v>0.33</v>
      </c>
      <c r="G134">
        <v>2.11</v>
      </c>
      <c r="H134">
        <v>-0.48</v>
      </c>
      <c r="I134">
        <v>-0.91</v>
      </c>
      <c r="J134" s="1" t="s">
        <v>73</v>
      </c>
    </row>
    <row r="135" spans="1:10">
      <c r="A135">
        <v>134</v>
      </c>
      <c r="B135">
        <v>-0.28000000000000003</v>
      </c>
      <c r="C135">
        <v>0.38</v>
      </c>
      <c r="D135">
        <v>0.04</v>
      </c>
      <c r="E135">
        <v>0.48</v>
      </c>
      <c r="F135">
        <v>0.33</v>
      </c>
      <c r="G135">
        <v>-1.01</v>
      </c>
      <c r="H135">
        <v>-0.48</v>
      </c>
      <c r="I135">
        <v>-0.91</v>
      </c>
      <c r="J135" s="1" t="s">
        <v>73</v>
      </c>
    </row>
    <row r="136" spans="1:10">
      <c r="A136">
        <v>135</v>
      </c>
      <c r="B136">
        <v>-0.83</v>
      </c>
      <c r="C136">
        <v>-0.89</v>
      </c>
      <c r="D136">
        <v>0.04</v>
      </c>
      <c r="E136">
        <v>0.17</v>
      </c>
      <c r="F136">
        <v>-0.36</v>
      </c>
      <c r="G136">
        <v>-1.01</v>
      </c>
      <c r="H136">
        <v>-0.48</v>
      </c>
      <c r="I136">
        <v>0.78</v>
      </c>
      <c r="J136" s="1" t="s">
        <v>73</v>
      </c>
    </row>
    <row r="137" spans="1:10">
      <c r="A137">
        <v>136</v>
      </c>
      <c r="B137">
        <v>-0.28000000000000003</v>
      </c>
      <c r="C137">
        <v>-0.89</v>
      </c>
      <c r="D137">
        <v>0.04</v>
      </c>
      <c r="E137">
        <v>0.17</v>
      </c>
      <c r="F137">
        <v>0.33</v>
      </c>
      <c r="G137">
        <v>-1.01</v>
      </c>
      <c r="H137">
        <v>-0.48</v>
      </c>
      <c r="I137">
        <v>0.78</v>
      </c>
      <c r="J137" s="1" t="s">
        <v>73</v>
      </c>
    </row>
    <row r="138" spans="1:10">
      <c r="A138">
        <v>137</v>
      </c>
      <c r="B138">
        <v>0.17</v>
      </c>
      <c r="C138">
        <v>0.38</v>
      </c>
      <c r="D138">
        <v>0.04</v>
      </c>
      <c r="E138">
        <v>-0.16</v>
      </c>
      <c r="F138">
        <v>-0.36</v>
      </c>
      <c r="G138">
        <v>1.1499999999999999</v>
      </c>
      <c r="H138">
        <v>0.99</v>
      </c>
      <c r="I138">
        <v>0.45</v>
      </c>
      <c r="J138" s="1" t="s">
        <v>74</v>
      </c>
    </row>
    <row r="139" spans="1:10">
      <c r="A139">
        <v>138</v>
      </c>
      <c r="B139">
        <v>0.64</v>
      </c>
      <c r="C139">
        <v>0.38</v>
      </c>
      <c r="D139">
        <v>-0.32</v>
      </c>
      <c r="E139">
        <v>0.48</v>
      </c>
      <c r="F139">
        <v>0.33</v>
      </c>
      <c r="G139">
        <v>1.1499999999999999</v>
      </c>
      <c r="H139">
        <v>-0.48</v>
      </c>
      <c r="I139">
        <v>0.78</v>
      </c>
      <c r="J139" s="1" t="s">
        <v>74</v>
      </c>
    </row>
    <row r="140" spans="1:10">
      <c r="A140">
        <v>139</v>
      </c>
      <c r="B140">
        <v>-0.75</v>
      </c>
      <c r="C140">
        <v>0.38</v>
      </c>
      <c r="D140">
        <v>-0.32</v>
      </c>
      <c r="E140">
        <v>-0.16</v>
      </c>
      <c r="F140">
        <v>-0.36</v>
      </c>
      <c r="G140">
        <v>1.1499999999999999</v>
      </c>
      <c r="H140">
        <v>0.99</v>
      </c>
      <c r="I140">
        <v>0.78</v>
      </c>
      <c r="J140" s="1" t="s">
        <v>74</v>
      </c>
    </row>
    <row r="141" spans="1:10">
      <c r="A141">
        <v>140</v>
      </c>
      <c r="B141">
        <v>-0.28000000000000003</v>
      </c>
      <c r="C141">
        <v>0.38</v>
      </c>
      <c r="D141">
        <v>0.04</v>
      </c>
      <c r="E141">
        <v>0.17</v>
      </c>
      <c r="F141">
        <v>0.33</v>
      </c>
      <c r="G141">
        <v>-1.01</v>
      </c>
      <c r="H141">
        <v>0.99</v>
      </c>
      <c r="I141">
        <v>0.78</v>
      </c>
      <c r="J141" s="1" t="s">
        <v>73</v>
      </c>
    </row>
    <row r="142" spans="1:10">
      <c r="A142">
        <v>141</v>
      </c>
      <c r="B142">
        <v>0.64</v>
      </c>
      <c r="C142">
        <v>0.38</v>
      </c>
      <c r="D142">
        <v>0.04</v>
      </c>
      <c r="E142">
        <v>0.17</v>
      </c>
      <c r="F142">
        <v>-0.36</v>
      </c>
      <c r="G142">
        <v>-1.01</v>
      </c>
      <c r="H142">
        <v>-0.48</v>
      </c>
      <c r="I142">
        <v>-0.91</v>
      </c>
      <c r="J142" s="1" t="s">
        <v>73</v>
      </c>
    </row>
    <row r="143" spans="1:10">
      <c r="A143">
        <v>142</v>
      </c>
      <c r="B143">
        <v>0.64</v>
      </c>
      <c r="C143">
        <v>0.38</v>
      </c>
      <c r="D143">
        <v>0.56999999999999995</v>
      </c>
      <c r="E143">
        <v>0.48</v>
      </c>
      <c r="F143">
        <v>0.33</v>
      </c>
      <c r="G143">
        <v>0.2</v>
      </c>
      <c r="H143">
        <v>-0.48</v>
      </c>
      <c r="I143">
        <v>0.78</v>
      </c>
      <c r="J143" s="1" t="s">
        <v>74</v>
      </c>
    </row>
    <row r="144" spans="1:10">
      <c r="A144">
        <v>143</v>
      </c>
      <c r="B144">
        <v>-0.28000000000000003</v>
      </c>
      <c r="C144">
        <v>0.38</v>
      </c>
      <c r="D144">
        <v>0.04</v>
      </c>
      <c r="E144">
        <v>0.17</v>
      </c>
      <c r="F144">
        <v>-0.36</v>
      </c>
      <c r="G144">
        <v>-1.01</v>
      </c>
      <c r="H144">
        <v>-0.48</v>
      </c>
      <c r="I144">
        <v>-0.91</v>
      </c>
      <c r="J144" s="1" t="s">
        <v>73</v>
      </c>
    </row>
    <row r="145" spans="1:10">
      <c r="A145">
        <v>144</v>
      </c>
      <c r="B145">
        <v>0.64</v>
      </c>
      <c r="C145">
        <v>0.38</v>
      </c>
      <c r="D145">
        <v>0.04</v>
      </c>
      <c r="E145">
        <v>0.17</v>
      </c>
      <c r="F145">
        <v>-0.36</v>
      </c>
      <c r="G145">
        <v>0.2</v>
      </c>
      <c r="H145">
        <v>0.99</v>
      </c>
      <c r="I145">
        <v>0.78</v>
      </c>
      <c r="J145" s="1" t="s">
        <v>74</v>
      </c>
    </row>
    <row r="146" spans="1:10">
      <c r="A146">
        <v>145</v>
      </c>
      <c r="B146">
        <v>0.64</v>
      </c>
      <c r="C146">
        <v>0.38</v>
      </c>
      <c r="D146">
        <v>-0.32</v>
      </c>
      <c r="E146">
        <v>0.17</v>
      </c>
      <c r="F146">
        <v>0.33</v>
      </c>
      <c r="G146">
        <v>0.2</v>
      </c>
      <c r="H146">
        <v>-0.48</v>
      </c>
      <c r="I146">
        <v>0.78</v>
      </c>
      <c r="J146" s="1" t="s">
        <v>73</v>
      </c>
    </row>
    <row r="147" spans="1:10">
      <c r="A147">
        <v>146</v>
      </c>
      <c r="B147">
        <v>-0.28000000000000003</v>
      </c>
      <c r="C147">
        <v>0.38</v>
      </c>
      <c r="D147">
        <v>-0.32</v>
      </c>
      <c r="E147">
        <v>0.17</v>
      </c>
      <c r="F147">
        <v>-0.36</v>
      </c>
      <c r="G147">
        <v>0.2</v>
      </c>
      <c r="H147">
        <v>-0.48</v>
      </c>
      <c r="I147">
        <v>-0.91</v>
      </c>
      <c r="J147" s="1" t="s">
        <v>74</v>
      </c>
    </row>
    <row r="148" spans="1:10">
      <c r="A148">
        <v>147</v>
      </c>
      <c r="B148">
        <v>0.64</v>
      </c>
      <c r="C148">
        <v>0.38</v>
      </c>
      <c r="D148">
        <v>0.56999999999999995</v>
      </c>
      <c r="E148">
        <v>0.48</v>
      </c>
      <c r="F148">
        <v>0.33</v>
      </c>
      <c r="G148">
        <v>1.1499999999999999</v>
      </c>
      <c r="H148">
        <v>-0.48</v>
      </c>
      <c r="I148">
        <v>0.78</v>
      </c>
      <c r="J148" s="1" t="s">
        <v>74</v>
      </c>
    </row>
    <row r="149" spans="1:10">
      <c r="A149">
        <v>148</v>
      </c>
      <c r="B149">
        <v>-0.83</v>
      </c>
      <c r="C149">
        <v>0.38</v>
      </c>
      <c r="D149">
        <v>-0.32</v>
      </c>
      <c r="E149">
        <v>0.17</v>
      </c>
      <c r="F149">
        <v>-0.36</v>
      </c>
      <c r="G149">
        <v>-1.01</v>
      </c>
      <c r="H149">
        <v>-0.48</v>
      </c>
      <c r="I149">
        <v>-0.91</v>
      </c>
      <c r="J149" s="1" t="s">
        <v>73</v>
      </c>
    </row>
    <row r="150" spans="1:10">
      <c r="A150">
        <v>149</v>
      </c>
      <c r="B150">
        <v>-0.83</v>
      </c>
      <c r="C150">
        <v>0.38</v>
      </c>
      <c r="D150">
        <v>0.04</v>
      </c>
      <c r="E150">
        <v>0.17</v>
      </c>
      <c r="F150">
        <v>0.33</v>
      </c>
      <c r="G150">
        <v>-1.01</v>
      </c>
      <c r="H150">
        <v>-0.48</v>
      </c>
      <c r="I150">
        <v>-0.91</v>
      </c>
      <c r="J150" s="1" t="s">
        <v>73</v>
      </c>
    </row>
    <row r="151" spans="1:10">
      <c r="A151">
        <v>150</v>
      </c>
      <c r="B151">
        <v>0.64</v>
      </c>
      <c r="C151">
        <v>-0.89</v>
      </c>
      <c r="D151">
        <v>-0.32</v>
      </c>
      <c r="E151">
        <v>0.17</v>
      </c>
      <c r="F151">
        <v>-0.36</v>
      </c>
      <c r="G151">
        <v>0.2</v>
      </c>
      <c r="H151">
        <v>-0.48</v>
      </c>
      <c r="I151">
        <v>-0.91</v>
      </c>
      <c r="J151" s="1" t="s">
        <v>73</v>
      </c>
    </row>
    <row r="152" spans="1:10">
      <c r="A152">
        <v>151</v>
      </c>
      <c r="B152">
        <v>-0.28000000000000003</v>
      </c>
      <c r="C152">
        <v>0.38</v>
      </c>
      <c r="D152">
        <v>0.56999999999999995</v>
      </c>
      <c r="E152">
        <v>0.48</v>
      </c>
      <c r="F152">
        <v>-0.36</v>
      </c>
      <c r="G152">
        <v>-1.01</v>
      </c>
      <c r="H152">
        <v>-0.48</v>
      </c>
      <c r="I152">
        <v>0.78</v>
      </c>
      <c r="J152" s="1" t="s">
        <v>73</v>
      </c>
    </row>
    <row r="153" spans="1:10">
      <c r="A153">
        <v>152</v>
      </c>
      <c r="B153">
        <v>-0.83</v>
      </c>
      <c r="C153">
        <v>-0.89</v>
      </c>
      <c r="D153">
        <v>-0.32</v>
      </c>
      <c r="E153">
        <v>0.48</v>
      </c>
      <c r="F153">
        <v>0.33</v>
      </c>
      <c r="G153">
        <v>1.1499999999999999</v>
      </c>
      <c r="H153">
        <v>-0.48</v>
      </c>
      <c r="I153">
        <v>0.78</v>
      </c>
      <c r="J153" s="1" t="s">
        <v>73</v>
      </c>
    </row>
    <row r="154" spans="1:10">
      <c r="A154">
        <v>153</v>
      </c>
      <c r="B154">
        <v>0.17</v>
      </c>
      <c r="C154">
        <v>-0.89</v>
      </c>
      <c r="D154">
        <v>-0.32</v>
      </c>
      <c r="E154">
        <v>-0.35</v>
      </c>
      <c r="F154">
        <v>0.33</v>
      </c>
      <c r="G154">
        <v>0.2</v>
      </c>
      <c r="H154">
        <v>0.99</v>
      </c>
      <c r="I154">
        <v>0.78</v>
      </c>
      <c r="J154" s="1" t="s">
        <v>73</v>
      </c>
    </row>
    <row r="155" spans="1:10">
      <c r="A155">
        <v>154</v>
      </c>
      <c r="B155">
        <v>-0.28000000000000003</v>
      </c>
      <c r="C155">
        <v>0.38</v>
      </c>
      <c r="D155">
        <v>0.56999999999999995</v>
      </c>
      <c r="E155">
        <v>0.48</v>
      </c>
      <c r="F155">
        <v>0.33</v>
      </c>
      <c r="G155">
        <v>0.2</v>
      </c>
      <c r="H155">
        <v>-0.48</v>
      </c>
      <c r="I155">
        <v>0.78</v>
      </c>
      <c r="J155" s="1" t="s">
        <v>74</v>
      </c>
    </row>
    <row r="156" spans="1:10">
      <c r="A156">
        <v>155</v>
      </c>
      <c r="B156">
        <v>0.64</v>
      </c>
      <c r="C156">
        <v>0.38</v>
      </c>
      <c r="D156">
        <v>-0.32</v>
      </c>
      <c r="E156">
        <v>0.17</v>
      </c>
      <c r="F156">
        <v>0.33</v>
      </c>
      <c r="G156">
        <v>2.11</v>
      </c>
      <c r="H156">
        <v>0.99</v>
      </c>
      <c r="I156">
        <v>0.45</v>
      </c>
      <c r="J156" s="1" t="s">
        <v>74</v>
      </c>
    </row>
    <row r="157" spans="1:10">
      <c r="A157">
        <v>156</v>
      </c>
      <c r="B157">
        <v>0.17</v>
      </c>
      <c r="C157">
        <v>0.38</v>
      </c>
      <c r="D157">
        <v>0.04</v>
      </c>
      <c r="E157">
        <v>0.17</v>
      </c>
      <c r="F157">
        <v>0.33</v>
      </c>
      <c r="G157">
        <v>1.1499999999999999</v>
      </c>
      <c r="H157">
        <v>0.99</v>
      </c>
      <c r="I157">
        <v>0.78</v>
      </c>
      <c r="J157" s="1" t="s">
        <v>74</v>
      </c>
    </row>
    <row r="158" spans="1:10">
      <c r="A158">
        <v>157</v>
      </c>
      <c r="B158">
        <v>-0.28000000000000003</v>
      </c>
      <c r="C158">
        <v>0.38</v>
      </c>
      <c r="D158">
        <v>0.04</v>
      </c>
      <c r="E158">
        <v>0.48</v>
      </c>
      <c r="F158">
        <v>-0.36</v>
      </c>
      <c r="G158">
        <v>-1.01</v>
      </c>
      <c r="H158">
        <v>0.99</v>
      </c>
      <c r="I158">
        <v>-0.91</v>
      </c>
      <c r="J158" s="1" t="s">
        <v>74</v>
      </c>
    </row>
    <row r="159" spans="1:10">
      <c r="A159">
        <v>158</v>
      </c>
      <c r="B159">
        <v>0.64</v>
      </c>
      <c r="C159">
        <v>0.38</v>
      </c>
      <c r="D159">
        <v>0.04</v>
      </c>
      <c r="E159">
        <v>0.48</v>
      </c>
      <c r="F159">
        <v>0.33</v>
      </c>
      <c r="G159">
        <v>-1.01</v>
      </c>
      <c r="H159">
        <v>-0.48</v>
      </c>
      <c r="I159">
        <v>-0.91</v>
      </c>
      <c r="J159" s="1" t="s">
        <v>74</v>
      </c>
    </row>
    <row r="160" spans="1:10">
      <c r="A160">
        <v>159</v>
      </c>
      <c r="B160">
        <v>0.64</v>
      </c>
      <c r="C160">
        <v>0.38</v>
      </c>
      <c r="D160">
        <v>0.04</v>
      </c>
      <c r="E160">
        <v>0.48</v>
      </c>
      <c r="F160">
        <v>0.33</v>
      </c>
      <c r="G160">
        <v>-1.01</v>
      </c>
      <c r="H160">
        <v>-0.48</v>
      </c>
      <c r="I160">
        <v>0.78</v>
      </c>
      <c r="J160" s="1" t="s">
        <v>74</v>
      </c>
    </row>
    <row r="161" spans="1:10">
      <c r="A161">
        <v>160</v>
      </c>
      <c r="B161">
        <v>0.17</v>
      </c>
      <c r="C161">
        <v>0.38</v>
      </c>
      <c r="D161">
        <v>-0.32</v>
      </c>
      <c r="E161">
        <v>0.48</v>
      </c>
      <c r="F161">
        <v>-0.36</v>
      </c>
      <c r="G161">
        <v>0.2</v>
      </c>
      <c r="H161">
        <v>-0.48</v>
      </c>
      <c r="I161">
        <v>-0.91</v>
      </c>
      <c r="J161" s="1" t="s">
        <v>73</v>
      </c>
    </row>
    <row r="162" spans="1:10">
      <c r="A162">
        <v>161</v>
      </c>
      <c r="B162">
        <v>-0.83</v>
      </c>
      <c r="C162">
        <v>0.38</v>
      </c>
      <c r="D162">
        <v>-0.32</v>
      </c>
      <c r="E162">
        <v>-0.16</v>
      </c>
      <c r="F162">
        <v>-0.36</v>
      </c>
      <c r="G162">
        <v>0.2</v>
      </c>
      <c r="H162">
        <v>-0.48</v>
      </c>
      <c r="I162">
        <v>-0.91</v>
      </c>
      <c r="J162" s="1" t="s">
        <v>73</v>
      </c>
    </row>
    <row r="163" spans="1:10">
      <c r="A163">
        <v>162</v>
      </c>
      <c r="B163">
        <v>0.17</v>
      </c>
      <c r="C163">
        <v>0.38</v>
      </c>
      <c r="D163">
        <v>0.04</v>
      </c>
      <c r="E163">
        <v>0.17</v>
      </c>
      <c r="F163">
        <v>0.33</v>
      </c>
      <c r="G163">
        <v>-1.01</v>
      </c>
      <c r="H163">
        <v>-0.48</v>
      </c>
      <c r="I163">
        <v>-0.91</v>
      </c>
      <c r="J163" s="1" t="s">
        <v>74</v>
      </c>
    </row>
    <row r="164" spans="1:10">
      <c r="A164">
        <v>163</v>
      </c>
      <c r="B164">
        <v>-0.28000000000000003</v>
      </c>
      <c r="C164">
        <v>-0.89</v>
      </c>
      <c r="D164">
        <v>-0.32</v>
      </c>
      <c r="E164">
        <v>0.17</v>
      </c>
      <c r="F164">
        <v>-0.36</v>
      </c>
      <c r="G164">
        <v>0.2</v>
      </c>
      <c r="H164">
        <v>0.99</v>
      </c>
      <c r="I164">
        <v>0.78</v>
      </c>
      <c r="J164" s="1" t="s">
        <v>73</v>
      </c>
    </row>
    <row r="165" spans="1:10">
      <c r="A165">
        <v>164</v>
      </c>
      <c r="B165">
        <v>0.64</v>
      </c>
      <c r="C165">
        <v>-0.89</v>
      </c>
      <c r="D165">
        <v>-0.32</v>
      </c>
      <c r="E165">
        <v>0.17</v>
      </c>
      <c r="F165">
        <v>0.33</v>
      </c>
      <c r="G165">
        <v>1.1499999999999999</v>
      </c>
      <c r="H165">
        <v>-0.48</v>
      </c>
      <c r="I165">
        <v>0.78</v>
      </c>
      <c r="J165" s="1" t="s">
        <v>73</v>
      </c>
    </row>
    <row r="166" spans="1:10">
      <c r="A166">
        <v>165</v>
      </c>
      <c r="B166">
        <v>-0.28000000000000003</v>
      </c>
      <c r="C166">
        <v>0.38</v>
      </c>
      <c r="D166">
        <v>0.04</v>
      </c>
      <c r="E166">
        <v>0.48</v>
      </c>
      <c r="F166">
        <v>-0.36</v>
      </c>
      <c r="G166">
        <v>-1.01</v>
      </c>
      <c r="H166">
        <v>-0.48</v>
      </c>
      <c r="I166">
        <v>-0.91</v>
      </c>
      <c r="J166" s="1" t="s">
        <v>73</v>
      </c>
    </row>
    <row r="167" spans="1:10">
      <c r="A167">
        <v>166</v>
      </c>
      <c r="B167">
        <v>0.64</v>
      </c>
      <c r="C167">
        <v>0.38</v>
      </c>
      <c r="D167">
        <v>0.04</v>
      </c>
      <c r="E167">
        <v>0.17</v>
      </c>
      <c r="F167">
        <v>-0.36</v>
      </c>
      <c r="G167">
        <v>-1.01</v>
      </c>
      <c r="H167">
        <v>-0.48</v>
      </c>
      <c r="I167">
        <v>-0.91</v>
      </c>
      <c r="J167" s="1" t="s">
        <v>73</v>
      </c>
    </row>
    <row r="168" spans="1:10">
      <c r="A168">
        <v>167</v>
      </c>
      <c r="B168">
        <v>-0.28000000000000003</v>
      </c>
      <c r="C168">
        <v>0.38</v>
      </c>
      <c r="D168">
        <v>0.04</v>
      </c>
      <c r="E168">
        <v>0.17</v>
      </c>
      <c r="F168">
        <v>-0.36</v>
      </c>
      <c r="G168">
        <v>-1.01</v>
      </c>
      <c r="H168">
        <v>-0.48</v>
      </c>
      <c r="I168">
        <v>-0.91</v>
      </c>
      <c r="J168" s="1" t="s">
        <v>73</v>
      </c>
    </row>
    <row r="169" spans="1:10">
      <c r="A169">
        <v>168</v>
      </c>
      <c r="B169">
        <v>-0.28000000000000003</v>
      </c>
      <c r="C169">
        <v>-0.89</v>
      </c>
      <c r="D169">
        <v>0.04</v>
      </c>
      <c r="E169">
        <v>0.48</v>
      </c>
      <c r="F169">
        <v>0.33</v>
      </c>
      <c r="G169">
        <v>0.2</v>
      </c>
      <c r="H169">
        <v>-0.48</v>
      </c>
      <c r="I169">
        <v>-0.91</v>
      </c>
      <c r="J169" s="1" t="s">
        <v>73</v>
      </c>
    </row>
    <row r="170" spans="1:10">
      <c r="A170">
        <v>169</v>
      </c>
      <c r="B170">
        <v>-0.75</v>
      </c>
      <c r="C170">
        <v>0.38</v>
      </c>
      <c r="D170">
        <v>0.04</v>
      </c>
      <c r="E170">
        <v>0.48</v>
      </c>
      <c r="F170">
        <v>0.33</v>
      </c>
      <c r="G170">
        <v>0.2</v>
      </c>
      <c r="H170">
        <v>-0.48</v>
      </c>
      <c r="I170">
        <v>-0.91</v>
      </c>
      <c r="J170" s="1" t="s">
        <v>74</v>
      </c>
    </row>
    <row r="171" spans="1:10">
      <c r="A171">
        <v>170</v>
      </c>
      <c r="B171">
        <v>-0.83</v>
      </c>
      <c r="C171">
        <v>-0.89</v>
      </c>
      <c r="D171">
        <v>-0.32</v>
      </c>
      <c r="E171">
        <v>-0.16</v>
      </c>
      <c r="F171">
        <v>-0.36</v>
      </c>
      <c r="G171">
        <v>0.2</v>
      </c>
      <c r="H171">
        <v>-0.48</v>
      </c>
      <c r="I171">
        <v>0.78</v>
      </c>
      <c r="J171" s="1" t="s">
        <v>73</v>
      </c>
    </row>
    <row r="172" spans="1:10">
      <c r="A172">
        <v>171</v>
      </c>
      <c r="B172">
        <v>0.17</v>
      </c>
      <c r="C172">
        <v>0.38</v>
      </c>
      <c r="D172">
        <v>0.56999999999999995</v>
      </c>
      <c r="E172">
        <v>0.48</v>
      </c>
      <c r="F172">
        <v>-0.36</v>
      </c>
      <c r="G172">
        <v>1.1499999999999999</v>
      </c>
      <c r="H172">
        <v>2.42</v>
      </c>
      <c r="I172">
        <v>0.78</v>
      </c>
      <c r="J172" s="1" t="s">
        <v>74</v>
      </c>
    </row>
    <row r="173" spans="1:10">
      <c r="A173">
        <v>172</v>
      </c>
      <c r="B173">
        <v>-0.28000000000000003</v>
      </c>
      <c r="C173">
        <v>0.38</v>
      </c>
      <c r="D173">
        <v>0.04</v>
      </c>
      <c r="E173">
        <v>0.17</v>
      </c>
      <c r="F173">
        <v>0.33</v>
      </c>
      <c r="G173">
        <v>1.1499999999999999</v>
      </c>
      <c r="H173">
        <v>-0.48</v>
      </c>
      <c r="I173">
        <v>-0.91</v>
      </c>
      <c r="J173" s="1" t="s">
        <v>73</v>
      </c>
    </row>
    <row r="174" spans="1:10">
      <c r="A174">
        <v>173</v>
      </c>
      <c r="B174">
        <v>0.64</v>
      </c>
      <c r="C174">
        <v>-0.89</v>
      </c>
      <c r="D174">
        <v>0.56999999999999995</v>
      </c>
      <c r="E174">
        <v>0.17</v>
      </c>
      <c r="F174">
        <v>-0.36</v>
      </c>
      <c r="G174">
        <v>0.2</v>
      </c>
      <c r="H174">
        <v>-0.48</v>
      </c>
      <c r="I174">
        <v>0.78</v>
      </c>
      <c r="J174" s="1" t="s">
        <v>74</v>
      </c>
    </row>
    <row r="175" spans="1:10">
      <c r="A175">
        <v>174</v>
      </c>
      <c r="B175">
        <v>0.64</v>
      </c>
      <c r="C175">
        <v>-0.89</v>
      </c>
      <c r="D175">
        <v>0.04</v>
      </c>
      <c r="E175">
        <v>-0.35</v>
      </c>
      <c r="F175">
        <v>0.33</v>
      </c>
      <c r="G175">
        <v>0.2</v>
      </c>
      <c r="H175">
        <v>-0.48</v>
      </c>
      <c r="I175">
        <v>0.78</v>
      </c>
      <c r="J175" s="1" t="s">
        <v>73</v>
      </c>
    </row>
    <row r="176" spans="1:10">
      <c r="A176">
        <v>175</v>
      </c>
      <c r="B176">
        <v>0.64</v>
      </c>
      <c r="C176">
        <v>0.38</v>
      </c>
      <c r="D176">
        <v>0.04</v>
      </c>
      <c r="E176">
        <v>0.17</v>
      </c>
      <c r="F176">
        <v>0.33</v>
      </c>
      <c r="G176">
        <v>0.2</v>
      </c>
      <c r="H176">
        <v>0.99</v>
      </c>
      <c r="I176">
        <v>0.78</v>
      </c>
      <c r="J176" s="1" t="s">
        <v>74</v>
      </c>
    </row>
    <row r="177" spans="1:10">
      <c r="A177">
        <v>176</v>
      </c>
      <c r="B177">
        <v>0.64</v>
      </c>
      <c r="C177">
        <v>0.38</v>
      </c>
      <c r="D177">
        <v>0.56999999999999995</v>
      </c>
      <c r="E177">
        <v>0.48</v>
      </c>
      <c r="F177">
        <v>-0.36</v>
      </c>
      <c r="G177">
        <v>2.11</v>
      </c>
      <c r="H177">
        <v>-0.48</v>
      </c>
      <c r="I177">
        <v>0.78</v>
      </c>
      <c r="J177" s="1" t="s">
        <v>74</v>
      </c>
    </row>
    <row r="178" spans="1:10">
      <c r="A178">
        <v>177</v>
      </c>
      <c r="B178">
        <v>-0.28000000000000003</v>
      </c>
      <c r="C178">
        <v>0.38</v>
      </c>
      <c r="D178">
        <v>-0.32</v>
      </c>
      <c r="E178">
        <v>0.17</v>
      </c>
      <c r="F178">
        <v>-0.36</v>
      </c>
      <c r="G178">
        <v>0.2</v>
      </c>
      <c r="H178">
        <v>-0.48</v>
      </c>
      <c r="I178">
        <v>-0.91</v>
      </c>
      <c r="J178" s="1" t="s">
        <v>73</v>
      </c>
    </row>
    <row r="179" spans="1:10">
      <c r="A179">
        <v>178</v>
      </c>
      <c r="B179">
        <v>-0.28000000000000003</v>
      </c>
      <c r="C179">
        <v>0.38</v>
      </c>
      <c r="D179">
        <v>0.04</v>
      </c>
      <c r="E179">
        <v>-0.16</v>
      </c>
      <c r="F179">
        <v>0.33</v>
      </c>
      <c r="G179">
        <v>1.1499999999999999</v>
      </c>
      <c r="H179">
        <v>0.99</v>
      </c>
      <c r="I179">
        <v>0.78</v>
      </c>
      <c r="J179" s="1" t="s">
        <v>74</v>
      </c>
    </row>
    <row r="180" spans="1:10">
      <c r="A180">
        <v>179</v>
      </c>
      <c r="B180">
        <v>-0.83</v>
      </c>
      <c r="C180">
        <v>0.38</v>
      </c>
      <c r="D180">
        <v>0.04</v>
      </c>
      <c r="E180">
        <v>0.17</v>
      </c>
      <c r="F180">
        <v>-0.36</v>
      </c>
      <c r="G180">
        <v>-1.01</v>
      </c>
      <c r="H180">
        <v>0.99</v>
      </c>
      <c r="I180">
        <v>-0.91</v>
      </c>
      <c r="J180" s="1" t="s">
        <v>73</v>
      </c>
    </row>
    <row r="181" spans="1:10">
      <c r="A181">
        <v>180</v>
      </c>
      <c r="B181">
        <v>-0.28000000000000003</v>
      </c>
      <c r="C181">
        <v>0.38</v>
      </c>
      <c r="D181">
        <v>0.04</v>
      </c>
      <c r="E181">
        <v>0.17</v>
      </c>
      <c r="F181">
        <v>0.33</v>
      </c>
      <c r="G181">
        <v>-1.01</v>
      </c>
      <c r="H181">
        <v>-0.48</v>
      </c>
      <c r="I181">
        <v>-0.91</v>
      </c>
      <c r="J181" s="1" t="s">
        <v>73</v>
      </c>
    </row>
    <row r="182" spans="1:10">
      <c r="A182">
        <v>181</v>
      </c>
      <c r="B182">
        <v>-0.28000000000000003</v>
      </c>
      <c r="C182">
        <v>0.38</v>
      </c>
      <c r="D182">
        <v>0.04</v>
      </c>
      <c r="E182">
        <v>0.48</v>
      </c>
      <c r="F182">
        <v>0.33</v>
      </c>
      <c r="G182">
        <v>-1.01</v>
      </c>
      <c r="H182">
        <v>-0.48</v>
      </c>
      <c r="I182">
        <v>0.78</v>
      </c>
      <c r="J182" s="1" t="s">
        <v>74</v>
      </c>
    </row>
    <row r="183" spans="1:10">
      <c r="A183">
        <v>182</v>
      </c>
      <c r="B183">
        <v>-0.28000000000000003</v>
      </c>
      <c r="C183">
        <v>-0.89</v>
      </c>
      <c r="D183">
        <v>0.04</v>
      </c>
      <c r="E183">
        <v>-0.35</v>
      </c>
      <c r="F183">
        <v>0.33</v>
      </c>
      <c r="G183">
        <v>0.2</v>
      </c>
      <c r="H183">
        <v>0.99</v>
      </c>
      <c r="I183">
        <v>0.78</v>
      </c>
      <c r="J183" s="1" t="s">
        <v>74</v>
      </c>
    </row>
    <row r="184" spans="1:10">
      <c r="A184">
        <v>183</v>
      </c>
      <c r="B184">
        <v>-0.83</v>
      </c>
      <c r="C184">
        <v>0.38</v>
      </c>
      <c r="D184">
        <v>0.04</v>
      </c>
      <c r="E184">
        <v>0.17</v>
      </c>
      <c r="F184">
        <v>0.33</v>
      </c>
      <c r="G184">
        <v>-1.01</v>
      </c>
      <c r="H184">
        <v>-0.48</v>
      </c>
      <c r="I184">
        <v>-0.91</v>
      </c>
      <c r="J184" s="1" t="s">
        <v>73</v>
      </c>
    </row>
    <row r="185" spans="1:10">
      <c r="A185">
        <v>184</v>
      </c>
      <c r="B185">
        <v>0.64</v>
      </c>
      <c r="C185">
        <v>0.38</v>
      </c>
      <c r="D185">
        <v>0.56999999999999995</v>
      </c>
      <c r="E185">
        <v>0.48</v>
      </c>
      <c r="F185">
        <v>0.33</v>
      </c>
      <c r="G185">
        <v>0.2</v>
      </c>
      <c r="H185">
        <v>1.55</v>
      </c>
      <c r="I185">
        <v>0.45</v>
      </c>
      <c r="J185" s="1" t="s">
        <v>73</v>
      </c>
    </row>
    <row r="186" spans="1:10">
      <c r="A186">
        <v>185</v>
      </c>
      <c r="B186">
        <v>0.64</v>
      </c>
      <c r="C186">
        <v>-0.89</v>
      </c>
      <c r="D186">
        <v>0.56999999999999995</v>
      </c>
      <c r="E186">
        <v>0.17</v>
      </c>
      <c r="F186">
        <v>0.33</v>
      </c>
      <c r="G186">
        <v>-1.01</v>
      </c>
      <c r="H186">
        <v>-0.48</v>
      </c>
      <c r="I186">
        <v>-0.91</v>
      </c>
      <c r="J186" s="1" t="s">
        <v>74</v>
      </c>
    </row>
    <row r="187" spans="1:10">
      <c r="A187">
        <v>186</v>
      </c>
      <c r="B187">
        <v>0.64</v>
      </c>
      <c r="C187">
        <v>-0.89</v>
      </c>
      <c r="D187">
        <v>0.04</v>
      </c>
      <c r="E187">
        <v>-0.16</v>
      </c>
      <c r="F187">
        <v>-0.36</v>
      </c>
      <c r="G187">
        <v>-1.01</v>
      </c>
      <c r="H187">
        <v>-0.48</v>
      </c>
      <c r="I187">
        <v>-0.91</v>
      </c>
      <c r="J187" s="1" t="s">
        <v>73</v>
      </c>
    </row>
    <row r="188" spans="1:10">
      <c r="A188">
        <v>187</v>
      </c>
      <c r="B188">
        <v>-0.83</v>
      </c>
      <c r="C188">
        <v>0.38</v>
      </c>
      <c r="D188">
        <v>-0.32</v>
      </c>
      <c r="E188">
        <v>0.17</v>
      </c>
      <c r="F188">
        <v>-0.36</v>
      </c>
      <c r="G188">
        <v>2.11</v>
      </c>
      <c r="H188">
        <v>-0.48</v>
      </c>
      <c r="I188">
        <v>0.45</v>
      </c>
      <c r="J188" s="1" t="s">
        <v>73</v>
      </c>
    </row>
    <row r="189" spans="1:10">
      <c r="A189">
        <v>188</v>
      </c>
      <c r="B189">
        <v>0.64</v>
      </c>
      <c r="C189">
        <v>0.38</v>
      </c>
      <c r="D189">
        <v>0.56999999999999995</v>
      </c>
      <c r="E189">
        <v>0.17</v>
      </c>
      <c r="F189">
        <v>-0.36</v>
      </c>
      <c r="G189">
        <v>1.1499999999999999</v>
      </c>
      <c r="H189">
        <v>-0.48</v>
      </c>
      <c r="I189">
        <v>0.78</v>
      </c>
      <c r="J189" s="1" t="s">
        <v>74</v>
      </c>
    </row>
    <row r="190" spans="1:10">
      <c r="A190">
        <v>189</v>
      </c>
      <c r="B190">
        <v>-0.28000000000000003</v>
      </c>
      <c r="C190">
        <v>0.38</v>
      </c>
      <c r="D190">
        <v>1.55</v>
      </c>
      <c r="E190">
        <v>0.48</v>
      </c>
      <c r="F190">
        <v>0.33</v>
      </c>
      <c r="G190">
        <v>2.11</v>
      </c>
      <c r="H190">
        <v>-0.48</v>
      </c>
      <c r="I190">
        <v>-0.91</v>
      </c>
      <c r="J190" s="1" t="s">
        <v>74</v>
      </c>
    </row>
    <row r="191" spans="1:10">
      <c r="A191">
        <v>190</v>
      </c>
      <c r="B191">
        <v>0.17</v>
      </c>
      <c r="C191">
        <v>0.38</v>
      </c>
      <c r="D191">
        <v>0.04</v>
      </c>
      <c r="E191">
        <v>0.48</v>
      </c>
      <c r="F191">
        <v>0.33</v>
      </c>
      <c r="G191">
        <v>0.2</v>
      </c>
      <c r="H191">
        <v>0.99</v>
      </c>
      <c r="I191">
        <v>0.78</v>
      </c>
      <c r="J191" s="1" t="s">
        <v>74</v>
      </c>
    </row>
    <row r="192" spans="1:10">
      <c r="A192">
        <v>191</v>
      </c>
      <c r="B192">
        <v>-0.28000000000000003</v>
      </c>
      <c r="C192">
        <v>0.38</v>
      </c>
      <c r="D192">
        <v>0.04</v>
      </c>
      <c r="E192">
        <v>-0.16</v>
      </c>
      <c r="F192">
        <v>-0.36</v>
      </c>
      <c r="G192">
        <v>-1.01</v>
      </c>
      <c r="H192">
        <v>-0.48</v>
      </c>
      <c r="I192">
        <v>-0.91</v>
      </c>
      <c r="J192" s="1" t="s">
        <v>73</v>
      </c>
    </row>
    <row r="193" spans="1:10">
      <c r="A193">
        <v>192</v>
      </c>
      <c r="B193">
        <v>-0.28000000000000003</v>
      </c>
      <c r="C193">
        <v>0.38</v>
      </c>
      <c r="D193">
        <v>0.04</v>
      </c>
      <c r="E193">
        <v>0.48</v>
      </c>
      <c r="F193">
        <v>-0.36</v>
      </c>
      <c r="G193">
        <v>1.1499999999999999</v>
      </c>
      <c r="H193">
        <v>1.55</v>
      </c>
      <c r="I193">
        <v>0.78</v>
      </c>
      <c r="J193" s="1" t="s">
        <v>74</v>
      </c>
    </row>
    <row r="194" spans="1:10">
      <c r="A194">
        <v>193</v>
      </c>
      <c r="B194">
        <v>-0.83</v>
      </c>
      <c r="C194">
        <v>0.38</v>
      </c>
      <c r="D194">
        <v>0.04</v>
      </c>
      <c r="E194">
        <v>0.17</v>
      </c>
      <c r="F194">
        <v>0.33</v>
      </c>
      <c r="G194">
        <v>0.2</v>
      </c>
      <c r="H194">
        <v>-0.48</v>
      </c>
      <c r="I194">
        <v>0.78</v>
      </c>
      <c r="J194" s="1" t="s">
        <v>74</v>
      </c>
    </row>
    <row r="195" spans="1:10">
      <c r="A195">
        <v>194</v>
      </c>
      <c r="B195">
        <v>0.64</v>
      </c>
      <c r="C195">
        <v>-0.89</v>
      </c>
      <c r="D195">
        <v>0.04</v>
      </c>
      <c r="E195">
        <v>0.48</v>
      </c>
      <c r="F195">
        <v>-0.36</v>
      </c>
      <c r="G195">
        <v>1.1499999999999999</v>
      </c>
      <c r="H195">
        <v>0.99</v>
      </c>
      <c r="I195">
        <v>0.78</v>
      </c>
      <c r="J195" s="1" t="s">
        <v>74</v>
      </c>
    </row>
    <row r="196" spans="1:10">
      <c r="A196">
        <v>195</v>
      </c>
      <c r="B196">
        <v>0.17</v>
      </c>
      <c r="C196">
        <v>-0.89</v>
      </c>
      <c r="D196">
        <v>-0.32</v>
      </c>
      <c r="E196">
        <v>0.17</v>
      </c>
      <c r="F196">
        <v>0.33</v>
      </c>
      <c r="G196">
        <v>1.1499999999999999</v>
      </c>
      <c r="H196">
        <v>-0.48</v>
      </c>
      <c r="I196">
        <v>0.78</v>
      </c>
      <c r="J196" s="1" t="s">
        <v>73</v>
      </c>
    </row>
    <row r="197" spans="1:10">
      <c r="A197">
        <v>196</v>
      </c>
      <c r="B197">
        <v>0.17</v>
      </c>
      <c r="C197">
        <v>0.38</v>
      </c>
      <c r="D197">
        <v>-0.32</v>
      </c>
      <c r="E197">
        <v>0.48</v>
      </c>
      <c r="F197">
        <v>0.33</v>
      </c>
      <c r="G197">
        <v>1.1499999999999999</v>
      </c>
      <c r="H197">
        <v>-0.48</v>
      </c>
      <c r="I197">
        <v>0.78</v>
      </c>
      <c r="J197" s="1" t="s">
        <v>74</v>
      </c>
    </row>
    <row r="198" spans="1:10">
      <c r="A198">
        <v>197</v>
      </c>
      <c r="B198">
        <v>0.17</v>
      </c>
      <c r="C198">
        <v>0.38</v>
      </c>
      <c r="D198">
        <v>0.56999999999999995</v>
      </c>
      <c r="E198">
        <v>0.17</v>
      </c>
      <c r="F198">
        <v>0.33</v>
      </c>
      <c r="G198">
        <v>0.2</v>
      </c>
      <c r="H198">
        <v>-0.48</v>
      </c>
      <c r="I198">
        <v>0.78</v>
      </c>
      <c r="J198" s="1" t="s">
        <v>73</v>
      </c>
    </row>
    <row r="199" spans="1:10">
      <c r="A199">
        <v>198</v>
      </c>
      <c r="B199">
        <v>-0.83</v>
      </c>
      <c r="C199">
        <v>-0.89</v>
      </c>
      <c r="D199">
        <v>0.04</v>
      </c>
      <c r="E199">
        <v>0.17</v>
      </c>
      <c r="F199">
        <v>0.33</v>
      </c>
      <c r="G199">
        <v>0.2</v>
      </c>
      <c r="H199">
        <v>-0.48</v>
      </c>
      <c r="I199">
        <v>0.78</v>
      </c>
      <c r="J199" s="1" t="s">
        <v>73</v>
      </c>
    </row>
    <row r="200" spans="1:10">
      <c r="A200">
        <v>199</v>
      </c>
      <c r="B200">
        <v>-0.28000000000000003</v>
      </c>
      <c r="C200">
        <v>-0.89</v>
      </c>
      <c r="D200">
        <v>-0.32</v>
      </c>
      <c r="E200">
        <v>0.17</v>
      </c>
      <c r="F200">
        <v>-0.36</v>
      </c>
      <c r="G200">
        <v>-1.01</v>
      </c>
      <c r="H200">
        <v>-0.48</v>
      </c>
      <c r="I200">
        <v>-0.91</v>
      </c>
      <c r="J200" s="1" t="s">
        <v>73</v>
      </c>
    </row>
    <row r="201" spans="1:10">
      <c r="A201">
        <v>200</v>
      </c>
      <c r="B201">
        <v>0.64</v>
      </c>
      <c r="C201">
        <v>0.38</v>
      </c>
      <c r="D201">
        <v>0.56999999999999995</v>
      </c>
      <c r="E201">
        <v>0.48</v>
      </c>
      <c r="F201">
        <v>0.33</v>
      </c>
      <c r="G201">
        <v>1.1499999999999999</v>
      </c>
      <c r="H201">
        <v>-0.48</v>
      </c>
      <c r="I201">
        <v>-0.91</v>
      </c>
      <c r="J201" s="1" t="s">
        <v>74</v>
      </c>
    </row>
    <row r="202" spans="1:10">
      <c r="A202">
        <v>201</v>
      </c>
      <c r="B202">
        <v>-0.28000000000000003</v>
      </c>
      <c r="C202">
        <v>-0.89</v>
      </c>
      <c r="D202">
        <v>-0.32</v>
      </c>
      <c r="E202">
        <v>0.48</v>
      </c>
      <c r="F202">
        <v>0.33</v>
      </c>
      <c r="G202">
        <v>0.2</v>
      </c>
      <c r="H202">
        <v>-0.48</v>
      </c>
      <c r="I202">
        <v>-0.91</v>
      </c>
      <c r="J202" s="1" t="s">
        <v>73</v>
      </c>
    </row>
    <row r="203" spans="1:10">
      <c r="A203">
        <v>202</v>
      </c>
      <c r="B203">
        <v>0.64</v>
      </c>
      <c r="C203">
        <v>-0.89</v>
      </c>
      <c r="D203">
        <v>1.55</v>
      </c>
      <c r="E203">
        <v>0.17</v>
      </c>
      <c r="F203">
        <v>-0.36</v>
      </c>
      <c r="G203">
        <v>0.2</v>
      </c>
      <c r="H203">
        <v>-0.48</v>
      </c>
      <c r="I203">
        <v>-0.91</v>
      </c>
      <c r="J203" s="1" t="s">
        <v>73</v>
      </c>
    </row>
    <row r="204" spans="1:10">
      <c r="A204">
        <v>203</v>
      </c>
      <c r="B204">
        <v>0.64</v>
      </c>
      <c r="C204">
        <v>0.38</v>
      </c>
      <c r="D204">
        <v>0.04</v>
      </c>
      <c r="E204">
        <v>-0.16</v>
      </c>
      <c r="F204">
        <v>-0.36</v>
      </c>
      <c r="G204">
        <v>-1.01</v>
      </c>
      <c r="H204">
        <v>-0.48</v>
      </c>
      <c r="I204">
        <v>-0.91</v>
      </c>
      <c r="J204" s="1" t="s">
        <v>73</v>
      </c>
    </row>
    <row r="205" spans="1:10">
      <c r="A205">
        <v>204</v>
      </c>
      <c r="B205">
        <v>0.64</v>
      </c>
      <c r="C205">
        <v>-0.89</v>
      </c>
      <c r="D205">
        <v>0.04</v>
      </c>
      <c r="E205">
        <v>0.17</v>
      </c>
      <c r="F205">
        <v>-0.36</v>
      </c>
      <c r="G205">
        <v>0.2</v>
      </c>
      <c r="H205">
        <v>-0.48</v>
      </c>
      <c r="I205">
        <v>-0.91</v>
      </c>
      <c r="J205" s="1" t="s">
        <v>73</v>
      </c>
    </row>
    <row r="206" spans="1:10">
      <c r="A206">
        <v>205</v>
      </c>
      <c r="B206">
        <v>-0.83</v>
      </c>
      <c r="C206">
        <v>0.38</v>
      </c>
      <c r="D206">
        <v>-0.32</v>
      </c>
      <c r="E206">
        <v>0.17</v>
      </c>
      <c r="F206">
        <v>-0.36</v>
      </c>
      <c r="G206">
        <v>-1.01</v>
      </c>
      <c r="H206">
        <v>-0.48</v>
      </c>
      <c r="I206">
        <v>-0.91</v>
      </c>
      <c r="J206" s="1" t="s">
        <v>73</v>
      </c>
    </row>
    <row r="207" spans="1:10">
      <c r="A207">
        <v>206</v>
      </c>
      <c r="B207">
        <v>-0.83</v>
      </c>
      <c r="C207">
        <v>0.38</v>
      </c>
      <c r="D207">
        <v>0.04</v>
      </c>
      <c r="E207">
        <v>0.17</v>
      </c>
      <c r="F207">
        <v>0.33</v>
      </c>
      <c r="G207">
        <v>0.2</v>
      </c>
      <c r="H207">
        <v>-0.48</v>
      </c>
      <c r="I207">
        <v>0.78</v>
      </c>
      <c r="J207" s="1" t="s">
        <v>74</v>
      </c>
    </row>
    <row r="208" spans="1:10">
      <c r="A208">
        <v>207</v>
      </c>
      <c r="B208">
        <v>0.64</v>
      </c>
      <c r="C208">
        <v>0.38</v>
      </c>
      <c r="D208">
        <v>0.04</v>
      </c>
      <c r="E208">
        <v>0.48</v>
      </c>
      <c r="F208">
        <v>0.33</v>
      </c>
      <c r="G208">
        <v>1.1499999999999999</v>
      </c>
      <c r="H208">
        <v>2.42</v>
      </c>
      <c r="I208">
        <v>0.78</v>
      </c>
      <c r="J208" s="1" t="s">
        <v>74</v>
      </c>
    </row>
    <row r="209" spans="1:10">
      <c r="A209">
        <v>208</v>
      </c>
      <c r="B209">
        <v>-0.28000000000000003</v>
      </c>
      <c r="C209">
        <v>0.38</v>
      </c>
      <c r="D209">
        <v>0.04</v>
      </c>
      <c r="E209">
        <v>-0.16</v>
      </c>
      <c r="F209">
        <v>0.33</v>
      </c>
      <c r="G209">
        <v>1.1499999999999999</v>
      </c>
      <c r="H209">
        <v>-0.48</v>
      </c>
      <c r="I209">
        <v>0.78</v>
      </c>
      <c r="J209" s="1" t="s">
        <v>74</v>
      </c>
    </row>
    <row r="210" spans="1:10">
      <c r="A210">
        <v>209</v>
      </c>
      <c r="B210">
        <v>-0.28000000000000003</v>
      </c>
      <c r="C210">
        <v>0.38</v>
      </c>
      <c r="D210">
        <v>0.04</v>
      </c>
      <c r="E210">
        <v>0.48</v>
      </c>
      <c r="F210">
        <v>-0.36</v>
      </c>
      <c r="G210">
        <v>0.2</v>
      </c>
      <c r="H210">
        <v>-0.48</v>
      </c>
      <c r="I210">
        <v>-0.91</v>
      </c>
      <c r="J210" s="1" t="s">
        <v>73</v>
      </c>
    </row>
    <row r="211" spans="1:10">
      <c r="A211">
        <v>210</v>
      </c>
      <c r="B211">
        <v>0.64</v>
      </c>
      <c r="C211">
        <v>-0.89</v>
      </c>
      <c r="D211">
        <v>0.04</v>
      </c>
      <c r="E211">
        <v>0.17</v>
      </c>
      <c r="F211">
        <v>-0.36</v>
      </c>
      <c r="G211">
        <v>0.2</v>
      </c>
      <c r="H211">
        <v>-0.48</v>
      </c>
      <c r="I211">
        <v>0.78</v>
      </c>
      <c r="J211" s="1" t="s">
        <v>74</v>
      </c>
    </row>
    <row r="212" spans="1:10">
      <c r="A212">
        <v>211</v>
      </c>
      <c r="B212">
        <v>-0.83</v>
      </c>
      <c r="C212">
        <v>-0.89</v>
      </c>
      <c r="D212">
        <v>-0.32</v>
      </c>
      <c r="E212">
        <v>0.17</v>
      </c>
      <c r="F212">
        <v>-0.36</v>
      </c>
      <c r="G212">
        <v>-1.01</v>
      </c>
      <c r="H212">
        <v>-0.48</v>
      </c>
      <c r="I212">
        <v>-0.91</v>
      </c>
      <c r="J212" s="1" t="s">
        <v>73</v>
      </c>
    </row>
    <row r="213" spans="1:10">
      <c r="A213">
        <v>212</v>
      </c>
      <c r="B213">
        <v>-0.83</v>
      </c>
      <c r="C213">
        <v>0.38</v>
      </c>
      <c r="D213">
        <v>-0.32</v>
      </c>
      <c r="E213">
        <v>0.17</v>
      </c>
      <c r="F213">
        <v>-0.36</v>
      </c>
      <c r="G213">
        <v>-1.01</v>
      </c>
      <c r="H213">
        <v>2.42</v>
      </c>
      <c r="I213">
        <v>0.78</v>
      </c>
      <c r="J213" s="1" t="s">
        <v>74</v>
      </c>
    </row>
    <row r="214" spans="1:10">
      <c r="A214">
        <v>213</v>
      </c>
      <c r="B214">
        <v>-0.83</v>
      </c>
      <c r="C214">
        <v>0.38</v>
      </c>
      <c r="D214">
        <v>0.04</v>
      </c>
      <c r="E214">
        <v>0.17</v>
      </c>
      <c r="F214">
        <v>0.33</v>
      </c>
      <c r="G214">
        <v>-1.01</v>
      </c>
      <c r="H214">
        <v>0.99</v>
      </c>
      <c r="I214">
        <v>0.78</v>
      </c>
      <c r="J214" s="1" t="s">
        <v>73</v>
      </c>
    </row>
    <row r="215" spans="1:10">
      <c r="A215">
        <v>214</v>
      </c>
      <c r="B215">
        <v>0.64</v>
      </c>
      <c r="C215">
        <v>-0.89</v>
      </c>
      <c r="D215">
        <v>0.56999999999999995</v>
      </c>
      <c r="E215">
        <v>0.17</v>
      </c>
      <c r="F215">
        <v>-0.36</v>
      </c>
      <c r="G215">
        <v>-1.01</v>
      </c>
      <c r="H215">
        <v>-0.48</v>
      </c>
      <c r="I215">
        <v>0.78</v>
      </c>
      <c r="J215" s="1" t="s">
        <v>74</v>
      </c>
    </row>
    <row r="216" spans="1:10">
      <c r="A216">
        <v>215</v>
      </c>
      <c r="B216">
        <v>-0.28000000000000003</v>
      </c>
      <c r="C216">
        <v>0.38</v>
      </c>
      <c r="D216">
        <v>-0.32</v>
      </c>
      <c r="E216">
        <v>0.17</v>
      </c>
      <c r="F216">
        <v>-0.36</v>
      </c>
      <c r="G216">
        <v>0.2</v>
      </c>
      <c r="H216">
        <v>-0.48</v>
      </c>
      <c r="I216">
        <v>-0.91</v>
      </c>
      <c r="J216" s="1" t="s">
        <v>74</v>
      </c>
    </row>
    <row r="217" spans="1:10">
      <c r="A217">
        <v>216</v>
      </c>
      <c r="B217">
        <v>-0.28000000000000003</v>
      </c>
      <c r="C217">
        <v>0.38</v>
      </c>
      <c r="D217">
        <v>-0.32</v>
      </c>
      <c r="E217">
        <v>-0.16</v>
      </c>
      <c r="F217">
        <v>0.33</v>
      </c>
      <c r="G217">
        <v>-1.01</v>
      </c>
      <c r="H217">
        <v>0.99</v>
      </c>
      <c r="I217">
        <v>0.78</v>
      </c>
      <c r="J217" s="1" t="s">
        <v>73</v>
      </c>
    </row>
    <row r="218" spans="1:10">
      <c r="A218">
        <v>217</v>
      </c>
      <c r="B218">
        <v>-0.83</v>
      </c>
      <c r="C218">
        <v>-0.89</v>
      </c>
      <c r="D218">
        <v>-0.32</v>
      </c>
      <c r="E218">
        <v>0.17</v>
      </c>
      <c r="F218">
        <v>-0.36</v>
      </c>
      <c r="G218">
        <v>-1.01</v>
      </c>
      <c r="H218">
        <v>-0.48</v>
      </c>
      <c r="I218">
        <v>-0.91</v>
      </c>
      <c r="J218" s="1" t="s">
        <v>73</v>
      </c>
    </row>
    <row r="219" spans="1:10">
      <c r="A219">
        <v>218</v>
      </c>
      <c r="B219">
        <v>-0.83</v>
      </c>
      <c r="C219">
        <v>-0.89</v>
      </c>
      <c r="D219">
        <v>0.04</v>
      </c>
      <c r="E219">
        <v>0.17</v>
      </c>
      <c r="F219">
        <v>0.33</v>
      </c>
      <c r="G219">
        <v>0.2</v>
      </c>
      <c r="H219">
        <v>-0.48</v>
      </c>
      <c r="I219">
        <v>0.78</v>
      </c>
      <c r="J219" s="1" t="s">
        <v>73</v>
      </c>
    </row>
    <row r="220" spans="1:10">
      <c r="A220">
        <v>219</v>
      </c>
      <c r="B220">
        <v>0.64</v>
      </c>
      <c r="C220">
        <v>-0.89</v>
      </c>
      <c r="D220">
        <v>0.04</v>
      </c>
      <c r="E220">
        <v>0.17</v>
      </c>
      <c r="F220">
        <v>-0.36</v>
      </c>
      <c r="G220">
        <v>1.1499999999999999</v>
      </c>
      <c r="H220">
        <v>0.99</v>
      </c>
      <c r="I220">
        <v>0.78</v>
      </c>
      <c r="J220" s="1" t="s">
        <v>73</v>
      </c>
    </row>
    <row r="221" spans="1:10">
      <c r="A221">
        <v>220</v>
      </c>
      <c r="B221">
        <v>0.64</v>
      </c>
      <c r="C221">
        <v>0.38</v>
      </c>
      <c r="D221">
        <v>0.04</v>
      </c>
      <c r="E221">
        <v>0.48</v>
      </c>
      <c r="F221">
        <v>0.33</v>
      </c>
      <c r="G221">
        <v>-1.01</v>
      </c>
      <c r="H221">
        <v>-0.48</v>
      </c>
      <c r="I221">
        <v>-0.91</v>
      </c>
      <c r="J221" s="1" t="s">
        <v>73</v>
      </c>
    </row>
    <row r="222" spans="1:10">
      <c r="A222">
        <v>221</v>
      </c>
      <c r="B222">
        <v>-0.83</v>
      </c>
      <c r="C222">
        <v>-0.89</v>
      </c>
      <c r="D222">
        <v>-0.32</v>
      </c>
      <c r="E222">
        <v>0.48</v>
      </c>
      <c r="F222">
        <v>0.33</v>
      </c>
      <c r="G222">
        <v>-1.01</v>
      </c>
      <c r="H222">
        <v>-0.48</v>
      </c>
      <c r="I222">
        <v>-0.91</v>
      </c>
      <c r="J222" s="1" t="s">
        <v>73</v>
      </c>
    </row>
    <row r="223" spans="1:10">
      <c r="A223">
        <v>222</v>
      </c>
      <c r="B223">
        <v>-0.28000000000000003</v>
      </c>
      <c r="C223">
        <v>-0.89</v>
      </c>
      <c r="D223">
        <v>-0.32</v>
      </c>
      <c r="E223">
        <v>0.48</v>
      </c>
      <c r="F223">
        <v>0.33</v>
      </c>
      <c r="G223">
        <v>-1.01</v>
      </c>
      <c r="H223">
        <v>-0.48</v>
      </c>
      <c r="I223">
        <v>-0.91</v>
      </c>
      <c r="J223" s="1" t="s">
        <v>73</v>
      </c>
    </row>
    <row r="224" spans="1:10">
      <c r="A224">
        <v>223</v>
      </c>
      <c r="B224">
        <v>-0.83</v>
      </c>
      <c r="C224">
        <v>-0.89</v>
      </c>
      <c r="D224">
        <v>-0.32</v>
      </c>
      <c r="E224">
        <v>-0.16</v>
      </c>
      <c r="F224">
        <v>-0.36</v>
      </c>
      <c r="G224">
        <v>-1.01</v>
      </c>
      <c r="H224">
        <v>-0.48</v>
      </c>
      <c r="I224">
        <v>-0.91</v>
      </c>
      <c r="J224" s="1" t="s">
        <v>73</v>
      </c>
    </row>
    <row r="225" spans="1:10">
      <c r="A225">
        <v>224</v>
      </c>
      <c r="B225">
        <v>-0.28000000000000003</v>
      </c>
      <c r="C225">
        <v>0.38</v>
      </c>
      <c r="D225">
        <v>0.04</v>
      </c>
      <c r="E225">
        <v>0.48</v>
      </c>
      <c r="F225">
        <v>-0.36</v>
      </c>
      <c r="G225">
        <v>2.11</v>
      </c>
      <c r="H225">
        <v>0.99</v>
      </c>
      <c r="I225">
        <v>0.78</v>
      </c>
      <c r="J225" s="1" t="s">
        <v>74</v>
      </c>
    </row>
    <row r="226" spans="1:10">
      <c r="A226">
        <v>225</v>
      </c>
      <c r="B226">
        <v>0.64</v>
      </c>
      <c r="C226">
        <v>-0.89</v>
      </c>
      <c r="D226">
        <v>-0.32</v>
      </c>
      <c r="E226">
        <v>0.48</v>
      </c>
      <c r="F226">
        <v>-0.36</v>
      </c>
      <c r="G226">
        <v>-1.01</v>
      </c>
      <c r="H226">
        <v>0.99</v>
      </c>
      <c r="I226">
        <v>0.78</v>
      </c>
      <c r="J226" s="1" t="s">
        <v>74</v>
      </c>
    </row>
    <row r="227" spans="1:10">
      <c r="A227">
        <v>226</v>
      </c>
      <c r="B227">
        <v>-0.75</v>
      </c>
      <c r="C227">
        <v>-0.89</v>
      </c>
      <c r="D227">
        <v>-0.32</v>
      </c>
      <c r="E227">
        <v>0.17</v>
      </c>
      <c r="F227">
        <v>-0.36</v>
      </c>
      <c r="G227">
        <v>2.11</v>
      </c>
      <c r="H227">
        <v>-0.48</v>
      </c>
      <c r="I227">
        <v>-0.91</v>
      </c>
      <c r="J227" s="1" t="s">
        <v>73</v>
      </c>
    </row>
    <row r="228" spans="1:10">
      <c r="A228">
        <v>227</v>
      </c>
      <c r="B228">
        <v>-0.28000000000000003</v>
      </c>
      <c r="C228">
        <v>0.38</v>
      </c>
      <c r="D228">
        <v>-0.32</v>
      </c>
      <c r="E228">
        <v>0.17</v>
      </c>
      <c r="F228">
        <v>-0.36</v>
      </c>
      <c r="G228">
        <v>0.2</v>
      </c>
      <c r="H228">
        <v>-0.48</v>
      </c>
      <c r="I228">
        <v>-0.91</v>
      </c>
      <c r="J228" s="1" t="s">
        <v>73</v>
      </c>
    </row>
    <row r="229" spans="1:10">
      <c r="A229">
        <v>228</v>
      </c>
      <c r="B229">
        <v>0.17</v>
      </c>
      <c r="C229">
        <v>-0.89</v>
      </c>
      <c r="D229">
        <v>0.56999999999999995</v>
      </c>
      <c r="E229">
        <v>0.48</v>
      </c>
      <c r="F229">
        <v>-0.36</v>
      </c>
      <c r="G229">
        <v>-1.01</v>
      </c>
      <c r="H229">
        <v>-0.48</v>
      </c>
      <c r="I229">
        <v>-0.91</v>
      </c>
      <c r="J229" s="1" t="s">
        <v>73</v>
      </c>
    </row>
    <row r="230" spans="1:10">
      <c r="A230">
        <v>229</v>
      </c>
      <c r="B230">
        <v>-0.28000000000000003</v>
      </c>
      <c r="C230">
        <v>0.38</v>
      </c>
      <c r="D230">
        <v>-0.32</v>
      </c>
      <c r="E230">
        <v>0.17</v>
      </c>
      <c r="F230">
        <v>0.33</v>
      </c>
      <c r="G230">
        <v>1.1499999999999999</v>
      </c>
      <c r="H230">
        <v>-0.48</v>
      </c>
      <c r="I230">
        <v>0.78</v>
      </c>
      <c r="J230" s="1" t="s">
        <v>74</v>
      </c>
    </row>
    <row r="231" spans="1:10">
      <c r="A231">
        <v>230</v>
      </c>
      <c r="B231">
        <v>0.64</v>
      </c>
      <c r="C231">
        <v>0.38</v>
      </c>
      <c r="D231">
        <v>-0.32</v>
      </c>
      <c r="E231">
        <v>0.17</v>
      </c>
      <c r="F231">
        <v>0.33</v>
      </c>
      <c r="G231">
        <v>0.2</v>
      </c>
      <c r="H231">
        <v>-0.48</v>
      </c>
      <c r="I231">
        <v>-0.91</v>
      </c>
      <c r="J231" s="1" t="s">
        <v>74</v>
      </c>
    </row>
    <row r="232" spans="1:10">
      <c r="A232">
        <v>231</v>
      </c>
      <c r="B232">
        <v>-0.28000000000000003</v>
      </c>
      <c r="C232">
        <v>-0.89</v>
      </c>
      <c r="D232">
        <v>0.04</v>
      </c>
      <c r="E232">
        <v>-0.16</v>
      </c>
      <c r="F232">
        <v>0.33</v>
      </c>
      <c r="G232">
        <v>-1.01</v>
      </c>
      <c r="H232">
        <v>-0.48</v>
      </c>
      <c r="I232">
        <v>0.78</v>
      </c>
      <c r="J232" s="1" t="s">
        <v>73</v>
      </c>
    </row>
    <row r="233" spans="1:10">
      <c r="A233">
        <v>232</v>
      </c>
      <c r="B233">
        <v>-0.28000000000000003</v>
      </c>
      <c r="C233">
        <v>-0.89</v>
      </c>
      <c r="D233">
        <v>1.55</v>
      </c>
      <c r="E233">
        <v>0.17</v>
      </c>
      <c r="F233">
        <v>1.26</v>
      </c>
      <c r="G233">
        <v>1.1499999999999999</v>
      </c>
      <c r="H233">
        <v>2.42</v>
      </c>
      <c r="I233">
        <v>0.78</v>
      </c>
      <c r="J233" s="1" t="s">
        <v>74</v>
      </c>
    </row>
    <row r="234" spans="1:10">
      <c r="A234">
        <v>233</v>
      </c>
      <c r="B234">
        <v>-0.28000000000000003</v>
      </c>
      <c r="C234">
        <v>0.38</v>
      </c>
      <c r="D234">
        <v>-0.32</v>
      </c>
      <c r="E234">
        <v>-0.16</v>
      </c>
      <c r="F234">
        <v>0.33</v>
      </c>
      <c r="G234">
        <v>1.1499999999999999</v>
      </c>
      <c r="H234">
        <v>-0.48</v>
      </c>
      <c r="I234">
        <v>-0.91</v>
      </c>
      <c r="J234" s="1" t="s">
        <v>74</v>
      </c>
    </row>
    <row r="235" spans="1:10">
      <c r="A235">
        <v>234</v>
      </c>
      <c r="B235">
        <v>0.17</v>
      </c>
      <c r="C235">
        <v>-0.89</v>
      </c>
      <c r="D235">
        <v>-0.32</v>
      </c>
      <c r="E235">
        <v>0.48</v>
      </c>
      <c r="F235">
        <v>0.33</v>
      </c>
      <c r="G235">
        <v>1.1499999999999999</v>
      </c>
      <c r="H235">
        <v>-0.48</v>
      </c>
      <c r="I235">
        <v>-0.91</v>
      </c>
      <c r="J235" s="1" t="s">
        <v>73</v>
      </c>
    </row>
    <row r="236" spans="1:10">
      <c r="A236">
        <v>235</v>
      </c>
      <c r="B236">
        <v>-0.28000000000000003</v>
      </c>
      <c r="C236">
        <v>-0.89</v>
      </c>
      <c r="D236">
        <v>0.56999999999999995</v>
      </c>
      <c r="E236">
        <v>0.17</v>
      </c>
      <c r="F236">
        <v>-0.36</v>
      </c>
      <c r="G236">
        <v>-1.01</v>
      </c>
      <c r="H236">
        <v>-0.48</v>
      </c>
      <c r="I236">
        <v>-0.91</v>
      </c>
      <c r="J236" s="1" t="s">
        <v>73</v>
      </c>
    </row>
    <row r="237" spans="1:10">
      <c r="A237">
        <v>236</v>
      </c>
      <c r="B237">
        <v>-0.28000000000000003</v>
      </c>
      <c r="C237">
        <v>0.38</v>
      </c>
      <c r="D237">
        <v>0.04</v>
      </c>
      <c r="E237">
        <v>0.48</v>
      </c>
      <c r="F237">
        <v>0.33</v>
      </c>
      <c r="G237">
        <v>1.1499999999999999</v>
      </c>
      <c r="H237">
        <v>2.42</v>
      </c>
      <c r="I237">
        <v>0.78</v>
      </c>
      <c r="J237" s="1" t="s">
        <v>74</v>
      </c>
    </row>
    <row r="238" spans="1:10">
      <c r="A238">
        <v>237</v>
      </c>
      <c r="B238">
        <v>-0.28000000000000003</v>
      </c>
      <c r="C238">
        <v>0.38</v>
      </c>
      <c r="D238">
        <v>0.04</v>
      </c>
      <c r="E238">
        <v>0.48</v>
      </c>
      <c r="F238">
        <v>0.33</v>
      </c>
      <c r="G238">
        <v>1.1499999999999999</v>
      </c>
      <c r="H238">
        <v>0.99</v>
      </c>
      <c r="I238">
        <v>0.45</v>
      </c>
      <c r="J238" s="1" t="s">
        <v>74</v>
      </c>
    </row>
    <row r="239" spans="1:10">
      <c r="A239">
        <v>238</v>
      </c>
      <c r="B239">
        <v>-0.83</v>
      </c>
      <c r="C239">
        <v>0.38</v>
      </c>
      <c r="D239">
        <v>-0.32</v>
      </c>
      <c r="E239">
        <v>0.17</v>
      </c>
      <c r="F239">
        <v>0.33</v>
      </c>
      <c r="G239">
        <v>0.2</v>
      </c>
      <c r="H239">
        <v>-0.48</v>
      </c>
      <c r="I239">
        <v>-0.91</v>
      </c>
      <c r="J239" s="1" t="s">
        <v>74</v>
      </c>
    </row>
    <row r="240" spans="1:10">
      <c r="A240">
        <v>239</v>
      </c>
      <c r="B240">
        <v>-0.28000000000000003</v>
      </c>
      <c r="C240">
        <v>-0.89</v>
      </c>
      <c r="D240">
        <v>0.04</v>
      </c>
      <c r="E240">
        <v>0.48</v>
      </c>
      <c r="F240">
        <v>-0.36</v>
      </c>
      <c r="G240">
        <v>-1.01</v>
      </c>
      <c r="H240">
        <v>-0.48</v>
      </c>
      <c r="I240">
        <v>0.78</v>
      </c>
      <c r="J240" s="1" t="s">
        <v>73</v>
      </c>
    </row>
    <row r="241" spans="1:10">
      <c r="A241">
        <v>240</v>
      </c>
      <c r="B241">
        <v>-0.83</v>
      </c>
      <c r="C241">
        <v>0.38</v>
      </c>
      <c r="D241">
        <v>-0.32</v>
      </c>
      <c r="E241">
        <v>0.48</v>
      </c>
      <c r="F241">
        <v>-0.36</v>
      </c>
      <c r="G241">
        <v>-1.01</v>
      </c>
      <c r="H241">
        <v>-0.48</v>
      </c>
      <c r="I241">
        <v>-0.91</v>
      </c>
      <c r="J241" s="1" t="s">
        <v>73</v>
      </c>
    </row>
    <row r="242" spans="1:10">
      <c r="A242">
        <v>241</v>
      </c>
      <c r="B242">
        <v>-0.83</v>
      </c>
      <c r="C242">
        <v>0.38</v>
      </c>
      <c r="D242">
        <v>-0.32</v>
      </c>
      <c r="E242">
        <v>0.17</v>
      </c>
      <c r="F242">
        <v>-0.36</v>
      </c>
      <c r="G242">
        <v>0.2</v>
      </c>
      <c r="H242">
        <v>-0.48</v>
      </c>
      <c r="I242">
        <v>-0.91</v>
      </c>
      <c r="J242" s="1" t="s">
        <v>73</v>
      </c>
    </row>
    <row r="243" spans="1:10">
      <c r="A243">
        <v>242</v>
      </c>
      <c r="B243">
        <v>-0.83</v>
      </c>
      <c r="C243">
        <v>-0.89</v>
      </c>
      <c r="D243">
        <v>0.04</v>
      </c>
      <c r="E243">
        <v>0.17</v>
      </c>
      <c r="F243">
        <v>-0.36</v>
      </c>
      <c r="G243">
        <v>-1.01</v>
      </c>
      <c r="H243">
        <v>-0.48</v>
      </c>
      <c r="I243">
        <v>-0.91</v>
      </c>
      <c r="J243" s="1" t="s">
        <v>73</v>
      </c>
    </row>
    <row r="244" spans="1:10">
      <c r="A244">
        <v>243</v>
      </c>
      <c r="B244">
        <v>-0.28000000000000003</v>
      </c>
      <c r="C244">
        <v>-0.89</v>
      </c>
      <c r="D244">
        <v>0.04</v>
      </c>
      <c r="E244">
        <v>0.48</v>
      </c>
      <c r="F244">
        <v>-0.36</v>
      </c>
      <c r="G244">
        <v>-1.01</v>
      </c>
      <c r="H244">
        <v>-0.48</v>
      </c>
      <c r="I244">
        <v>-0.91</v>
      </c>
      <c r="J244" s="1" t="s">
        <v>73</v>
      </c>
    </row>
    <row r="245" spans="1:10">
      <c r="A245">
        <v>244</v>
      </c>
      <c r="B245">
        <v>0.64</v>
      </c>
      <c r="C245">
        <v>0.38</v>
      </c>
      <c r="D245">
        <v>0.04</v>
      </c>
      <c r="E245">
        <v>0.17</v>
      </c>
      <c r="F245">
        <v>-0.36</v>
      </c>
      <c r="G245">
        <v>0.2</v>
      </c>
      <c r="H245">
        <v>0.99</v>
      </c>
      <c r="I245">
        <v>0.78</v>
      </c>
      <c r="J245" s="1" t="s">
        <v>74</v>
      </c>
    </row>
    <row r="246" spans="1:10">
      <c r="A246">
        <v>245</v>
      </c>
      <c r="B246">
        <v>0.64</v>
      </c>
      <c r="C246">
        <v>-0.89</v>
      </c>
      <c r="D246">
        <v>-0.32</v>
      </c>
      <c r="E246">
        <v>-0.16</v>
      </c>
      <c r="F246">
        <v>-0.36</v>
      </c>
      <c r="G246">
        <v>2.11</v>
      </c>
      <c r="H246">
        <v>-0.48</v>
      </c>
      <c r="I246">
        <v>-0.91</v>
      </c>
      <c r="J246" s="1" t="s">
        <v>73</v>
      </c>
    </row>
    <row r="247" spans="1:10">
      <c r="A247">
        <v>246</v>
      </c>
      <c r="B247">
        <v>0.17</v>
      </c>
      <c r="C247">
        <v>0.38</v>
      </c>
      <c r="D247">
        <v>-0.32</v>
      </c>
      <c r="E247">
        <v>0.17</v>
      </c>
      <c r="F247">
        <v>-0.36</v>
      </c>
      <c r="G247">
        <v>2.11</v>
      </c>
      <c r="H247">
        <v>-0.48</v>
      </c>
      <c r="I247">
        <v>0.78</v>
      </c>
      <c r="J247" s="1" t="s">
        <v>74</v>
      </c>
    </row>
    <row r="248" spans="1:10">
      <c r="A248">
        <v>247</v>
      </c>
      <c r="B248">
        <v>0.64</v>
      </c>
      <c r="C248">
        <v>0.38</v>
      </c>
      <c r="D248">
        <v>-0.32</v>
      </c>
      <c r="E248">
        <v>0.17</v>
      </c>
      <c r="F248">
        <v>-0.36</v>
      </c>
      <c r="G248">
        <v>0.2</v>
      </c>
      <c r="H248">
        <v>-0.48</v>
      </c>
      <c r="I248">
        <v>-0.91</v>
      </c>
      <c r="J248" s="1" t="s">
        <v>74</v>
      </c>
    </row>
    <row r="249" spans="1:10">
      <c r="A249">
        <v>248</v>
      </c>
      <c r="B249">
        <v>-0.28000000000000003</v>
      </c>
      <c r="C249">
        <v>0.38</v>
      </c>
      <c r="D249">
        <v>-0.32</v>
      </c>
      <c r="E249">
        <v>0.48</v>
      </c>
      <c r="F249">
        <v>0.33</v>
      </c>
      <c r="G249">
        <v>1.1499999999999999</v>
      </c>
      <c r="H249">
        <v>-0.48</v>
      </c>
      <c r="I249">
        <v>0.78</v>
      </c>
      <c r="J249" s="1" t="s">
        <v>74</v>
      </c>
    </row>
    <row r="250" spans="1:10">
      <c r="A250">
        <v>249</v>
      </c>
      <c r="B250">
        <v>-0.28000000000000003</v>
      </c>
      <c r="C250">
        <v>0.38</v>
      </c>
      <c r="D250">
        <v>0.04</v>
      </c>
      <c r="E250">
        <v>0.17</v>
      </c>
      <c r="F250">
        <v>-0.36</v>
      </c>
      <c r="G250">
        <v>-1.01</v>
      </c>
      <c r="H250">
        <v>-0.48</v>
      </c>
      <c r="I250">
        <v>-0.91</v>
      </c>
      <c r="J250" s="1" t="s">
        <v>74</v>
      </c>
    </row>
    <row r="251" spans="1:10">
      <c r="A251">
        <v>250</v>
      </c>
      <c r="B251">
        <v>0.64</v>
      </c>
      <c r="C251">
        <v>0.38</v>
      </c>
      <c r="D251">
        <v>0.04</v>
      </c>
      <c r="E251">
        <v>0.17</v>
      </c>
      <c r="F251">
        <v>0.33</v>
      </c>
      <c r="G251">
        <v>0.2</v>
      </c>
      <c r="H251">
        <v>-0.48</v>
      </c>
      <c r="I251">
        <v>-0.91</v>
      </c>
      <c r="J251" s="1" t="s">
        <v>73</v>
      </c>
    </row>
    <row r="252" spans="1:10">
      <c r="A252">
        <v>251</v>
      </c>
      <c r="B252">
        <v>0.64</v>
      </c>
      <c r="C252">
        <v>0.38</v>
      </c>
      <c r="D252">
        <v>-0.32</v>
      </c>
      <c r="E252">
        <v>0.17</v>
      </c>
      <c r="F252">
        <v>-0.36</v>
      </c>
      <c r="G252">
        <v>1.1499999999999999</v>
      </c>
      <c r="H252">
        <v>-0.48</v>
      </c>
      <c r="I252">
        <v>0.78</v>
      </c>
      <c r="J252" s="1" t="s">
        <v>73</v>
      </c>
    </row>
    <row r="253" spans="1:10">
      <c r="A253">
        <v>252</v>
      </c>
      <c r="B253">
        <v>0.64</v>
      </c>
      <c r="C253">
        <v>0.38</v>
      </c>
      <c r="D253">
        <v>0.04</v>
      </c>
      <c r="E253">
        <v>0.17</v>
      </c>
      <c r="F253">
        <v>-0.36</v>
      </c>
      <c r="G253">
        <v>1.1499999999999999</v>
      </c>
      <c r="H253">
        <v>0.99</v>
      </c>
      <c r="I253">
        <v>0.78</v>
      </c>
      <c r="J253" s="1" t="s">
        <v>74</v>
      </c>
    </row>
    <row r="254" spans="1:10">
      <c r="A254">
        <v>253</v>
      </c>
      <c r="B254">
        <v>0.64</v>
      </c>
      <c r="C254">
        <v>0.38</v>
      </c>
      <c r="D254">
        <v>0.04</v>
      </c>
      <c r="E254">
        <v>0.48</v>
      </c>
      <c r="F254">
        <v>-0.36</v>
      </c>
      <c r="G254">
        <v>1.1499999999999999</v>
      </c>
      <c r="H254">
        <v>-0.48</v>
      </c>
      <c r="I254">
        <v>0.78</v>
      </c>
      <c r="J254" s="1" t="s">
        <v>73</v>
      </c>
    </row>
    <row r="255" spans="1:10">
      <c r="A255">
        <v>254</v>
      </c>
      <c r="B255">
        <v>-0.28000000000000003</v>
      </c>
      <c r="C255">
        <v>-0.89</v>
      </c>
      <c r="D255">
        <v>-0.32</v>
      </c>
      <c r="E255">
        <v>0.48</v>
      </c>
      <c r="F255">
        <v>0.33</v>
      </c>
      <c r="G255">
        <v>0.2</v>
      </c>
      <c r="H255">
        <v>-0.48</v>
      </c>
      <c r="I255">
        <v>-0.91</v>
      </c>
      <c r="J255" s="1" t="s">
        <v>73</v>
      </c>
    </row>
    <row r="256" spans="1:10">
      <c r="A256">
        <v>255</v>
      </c>
      <c r="B256">
        <v>-0.83</v>
      </c>
      <c r="C256">
        <v>0.38</v>
      </c>
      <c r="D256">
        <v>-0.32</v>
      </c>
      <c r="E256">
        <v>0.17</v>
      </c>
      <c r="F256">
        <v>-0.36</v>
      </c>
      <c r="G256">
        <v>-1.01</v>
      </c>
      <c r="H256">
        <v>-0.48</v>
      </c>
      <c r="I256">
        <v>0.78</v>
      </c>
      <c r="J256" s="1" t="s">
        <v>73</v>
      </c>
    </row>
    <row r="257" spans="1:10">
      <c r="A257">
        <v>256</v>
      </c>
      <c r="B257">
        <v>-0.83</v>
      </c>
      <c r="C257">
        <v>-0.89</v>
      </c>
      <c r="D257">
        <v>-0.32</v>
      </c>
      <c r="E257">
        <v>0.17</v>
      </c>
      <c r="F257">
        <v>-0.36</v>
      </c>
      <c r="G257">
        <v>-1.01</v>
      </c>
      <c r="H257">
        <v>-0.48</v>
      </c>
      <c r="I257">
        <v>0.78</v>
      </c>
      <c r="J257" s="1" t="s">
        <v>73</v>
      </c>
    </row>
    <row r="258" spans="1:10">
      <c r="A258">
        <v>257</v>
      </c>
      <c r="B258">
        <v>0.17</v>
      </c>
      <c r="C258">
        <v>-0.89</v>
      </c>
      <c r="D258">
        <v>-0.32</v>
      </c>
      <c r="E258">
        <v>0.17</v>
      </c>
      <c r="F258">
        <v>-0.36</v>
      </c>
      <c r="G258">
        <v>0.2</v>
      </c>
      <c r="H258">
        <v>-0.48</v>
      </c>
      <c r="I258">
        <v>-0.91</v>
      </c>
      <c r="J258" s="1" t="s">
        <v>73</v>
      </c>
    </row>
    <row r="259" spans="1:10">
      <c r="A259">
        <v>258</v>
      </c>
      <c r="B259">
        <v>0.17</v>
      </c>
      <c r="C259">
        <v>-0.89</v>
      </c>
      <c r="D259">
        <v>0.04</v>
      </c>
      <c r="E259">
        <v>-0.16</v>
      </c>
      <c r="F259">
        <v>1.26</v>
      </c>
      <c r="G259">
        <v>1.1499999999999999</v>
      </c>
      <c r="H259">
        <v>-0.48</v>
      </c>
      <c r="I259">
        <v>0.78</v>
      </c>
      <c r="J259" s="1" t="s">
        <v>73</v>
      </c>
    </row>
    <row r="260" spans="1:10">
      <c r="A260">
        <v>259</v>
      </c>
      <c r="B260">
        <v>0.17</v>
      </c>
      <c r="C260">
        <v>0.38</v>
      </c>
      <c r="D260">
        <v>0.56999999999999995</v>
      </c>
      <c r="E260">
        <v>0.17</v>
      </c>
      <c r="F260">
        <v>0.33</v>
      </c>
      <c r="G260">
        <v>0.2</v>
      </c>
      <c r="H260">
        <v>-0.48</v>
      </c>
      <c r="I260">
        <v>-0.91</v>
      </c>
      <c r="J260" s="1" t="s">
        <v>73</v>
      </c>
    </row>
    <row r="261" spans="1:10">
      <c r="A261">
        <v>260</v>
      </c>
      <c r="B261">
        <v>0.64</v>
      </c>
      <c r="C261">
        <v>0.38</v>
      </c>
      <c r="D261">
        <v>0.04</v>
      </c>
      <c r="E261">
        <v>0.48</v>
      </c>
      <c r="F261">
        <v>-0.36</v>
      </c>
      <c r="G261">
        <v>0.2</v>
      </c>
      <c r="H261">
        <v>-0.48</v>
      </c>
      <c r="I261">
        <v>-0.91</v>
      </c>
      <c r="J261" s="1" t="s">
        <v>74</v>
      </c>
    </row>
    <row r="262" spans="1:10">
      <c r="A262">
        <v>261</v>
      </c>
      <c r="B262">
        <v>-0.83</v>
      </c>
      <c r="C262">
        <v>-0.89</v>
      </c>
      <c r="D262">
        <v>-0.32</v>
      </c>
      <c r="E262">
        <v>0.17</v>
      </c>
      <c r="F262">
        <v>-0.36</v>
      </c>
      <c r="G262">
        <v>0.2</v>
      </c>
      <c r="H262">
        <v>-0.48</v>
      </c>
      <c r="I262">
        <v>0.78</v>
      </c>
      <c r="J262" s="1" t="s">
        <v>73</v>
      </c>
    </row>
    <row r="263" spans="1:10">
      <c r="A263">
        <v>262</v>
      </c>
      <c r="B263">
        <v>0.64</v>
      </c>
      <c r="C263">
        <v>-0.89</v>
      </c>
      <c r="D263">
        <v>0.04</v>
      </c>
      <c r="E263">
        <v>0.17</v>
      </c>
      <c r="F263">
        <v>0.33</v>
      </c>
      <c r="G263">
        <v>0.2</v>
      </c>
      <c r="H263">
        <v>-0.48</v>
      </c>
      <c r="I263">
        <v>-0.91</v>
      </c>
      <c r="J263" s="1" t="s">
        <v>74</v>
      </c>
    </row>
    <row r="264" spans="1:10">
      <c r="A264">
        <v>263</v>
      </c>
      <c r="B264">
        <v>0.64</v>
      </c>
      <c r="C264">
        <v>-0.89</v>
      </c>
      <c r="D264">
        <v>0.04</v>
      </c>
      <c r="E264">
        <v>0.17</v>
      </c>
      <c r="F264">
        <v>-0.36</v>
      </c>
      <c r="G264">
        <v>-1.01</v>
      </c>
      <c r="H264">
        <v>-0.48</v>
      </c>
      <c r="I264">
        <v>-0.91</v>
      </c>
      <c r="J264" s="1" t="s">
        <v>73</v>
      </c>
    </row>
    <row r="265" spans="1:10">
      <c r="A265">
        <v>264</v>
      </c>
      <c r="B265">
        <v>-0.83</v>
      </c>
      <c r="C265">
        <v>0.38</v>
      </c>
      <c r="D265">
        <v>-0.32</v>
      </c>
      <c r="E265">
        <v>0.17</v>
      </c>
      <c r="F265">
        <v>-0.36</v>
      </c>
      <c r="G265">
        <v>-1.01</v>
      </c>
      <c r="H265">
        <v>-0.48</v>
      </c>
      <c r="I265">
        <v>-0.91</v>
      </c>
      <c r="J265" s="1" t="s">
        <v>73</v>
      </c>
    </row>
    <row r="266" spans="1:10">
      <c r="A266">
        <v>265</v>
      </c>
      <c r="B266">
        <v>0.64</v>
      </c>
      <c r="C266">
        <v>0.38</v>
      </c>
      <c r="D266">
        <v>0.04</v>
      </c>
      <c r="E266">
        <v>-0.16</v>
      </c>
      <c r="F266">
        <v>0.33</v>
      </c>
      <c r="G266">
        <v>1.1499999999999999</v>
      </c>
      <c r="H266">
        <v>2.42</v>
      </c>
      <c r="I266">
        <v>0.78</v>
      </c>
      <c r="J266" s="1" t="s">
        <v>74</v>
      </c>
    </row>
    <row r="267" spans="1:10">
      <c r="A267">
        <v>266</v>
      </c>
      <c r="B267">
        <v>-0.83</v>
      </c>
      <c r="C267">
        <v>0.38</v>
      </c>
      <c r="D267">
        <v>0.04</v>
      </c>
      <c r="E267">
        <v>0.17</v>
      </c>
      <c r="F267">
        <v>-0.36</v>
      </c>
      <c r="G267">
        <v>1.1499999999999999</v>
      </c>
      <c r="H267">
        <v>0.99</v>
      </c>
      <c r="I267">
        <v>0.78</v>
      </c>
      <c r="J267" s="1" t="s">
        <v>74</v>
      </c>
    </row>
    <row r="268" spans="1:10">
      <c r="A268">
        <v>267</v>
      </c>
      <c r="B268">
        <v>-0.28000000000000003</v>
      </c>
      <c r="C268">
        <v>0.38</v>
      </c>
      <c r="D268">
        <v>0.04</v>
      </c>
      <c r="E268">
        <v>0.17</v>
      </c>
      <c r="F268">
        <v>-0.36</v>
      </c>
      <c r="G268">
        <v>0.2</v>
      </c>
      <c r="H268">
        <v>-0.48</v>
      </c>
      <c r="I268">
        <v>0.78</v>
      </c>
      <c r="J268" s="1" t="s">
        <v>74</v>
      </c>
    </row>
    <row r="269" spans="1:10">
      <c r="A269">
        <v>268</v>
      </c>
      <c r="B269">
        <v>0.64</v>
      </c>
      <c r="C269">
        <v>0.38</v>
      </c>
      <c r="D269">
        <v>0.04</v>
      </c>
      <c r="E269">
        <v>0.17</v>
      </c>
      <c r="F269">
        <v>-0.36</v>
      </c>
      <c r="G269">
        <v>0.2</v>
      </c>
      <c r="H269">
        <v>0.99</v>
      </c>
      <c r="I269">
        <v>0.78</v>
      </c>
      <c r="J269" s="1" t="s">
        <v>74</v>
      </c>
    </row>
    <row r="270" spans="1:10">
      <c r="A270">
        <v>269</v>
      </c>
      <c r="B270">
        <v>-0.83</v>
      </c>
      <c r="C270">
        <v>0.38</v>
      </c>
      <c r="D270">
        <v>0.56999999999999995</v>
      </c>
      <c r="E270">
        <v>0.17</v>
      </c>
      <c r="F270">
        <v>-0.36</v>
      </c>
      <c r="G270">
        <v>-1.01</v>
      </c>
      <c r="H270">
        <v>-0.48</v>
      </c>
      <c r="I270">
        <v>-0.91</v>
      </c>
      <c r="J270" s="1" t="s">
        <v>74</v>
      </c>
    </row>
    <row r="271" spans="1:10">
      <c r="A271">
        <v>270</v>
      </c>
      <c r="B271">
        <v>-0.83</v>
      </c>
      <c r="C271">
        <v>0.38</v>
      </c>
      <c r="D271">
        <v>0.04</v>
      </c>
      <c r="E271">
        <v>-0.16</v>
      </c>
      <c r="F271">
        <v>-0.36</v>
      </c>
      <c r="G271">
        <v>0.2</v>
      </c>
      <c r="H271">
        <v>-0.48</v>
      </c>
      <c r="I271">
        <v>-0.91</v>
      </c>
      <c r="J271" s="1" t="s">
        <v>73</v>
      </c>
    </row>
    <row r="272" spans="1:10">
      <c r="A272">
        <v>271</v>
      </c>
      <c r="B272">
        <v>0.64</v>
      </c>
      <c r="C272">
        <v>0.38</v>
      </c>
      <c r="D272">
        <v>0.04</v>
      </c>
      <c r="E272">
        <v>0.17</v>
      </c>
      <c r="F272">
        <v>0.33</v>
      </c>
      <c r="G272">
        <v>0.2</v>
      </c>
      <c r="H272">
        <v>0.99</v>
      </c>
      <c r="I272">
        <v>-0.91</v>
      </c>
      <c r="J272" s="1" t="s">
        <v>74</v>
      </c>
    </row>
    <row r="273" spans="1:10">
      <c r="A273">
        <v>272</v>
      </c>
      <c r="B273">
        <v>0.64</v>
      </c>
      <c r="C273">
        <v>0.38</v>
      </c>
      <c r="D273">
        <v>0.56999999999999995</v>
      </c>
      <c r="E273">
        <v>0.17</v>
      </c>
      <c r="F273">
        <v>0.33</v>
      </c>
      <c r="G273">
        <v>0.2</v>
      </c>
      <c r="H273">
        <v>0.99</v>
      </c>
      <c r="I273">
        <v>-0.91</v>
      </c>
      <c r="J273" s="1" t="s">
        <v>73</v>
      </c>
    </row>
    <row r="274" spans="1:10">
      <c r="A274">
        <v>273</v>
      </c>
      <c r="B274">
        <v>-0.83</v>
      </c>
      <c r="C274">
        <v>0.38</v>
      </c>
      <c r="D274">
        <v>0.04</v>
      </c>
      <c r="E274">
        <v>0.17</v>
      </c>
      <c r="F274">
        <v>-0.36</v>
      </c>
      <c r="G274">
        <v>1.1499999999999999</v>
      </c>
      <c r="H274">
        <v>0.99</v>
      </c>
      <c r="I274">
        <v>0.78</v>
      </c>
      <c r="J274" s="1" t="s">
        <v>74</v>
      </c>
    </row>
    <row r="275" spans="1:10">
      <c r="A275">
        <v>274</v>
      </c>
      <c r="B275">
        <v>0.17</v>
      </c>
      <c r="C275">
        <v>-0.89</v>
      </c>
      <c r="D275">
        <v>-0.32</v>
      </c>
      <c r="E275">
        <v>-0.16</v>
      </c>
      <c r="F275">
        <v>-0.36</v>
      </c>
      <c r="G275">
        <v>1.1499999999999999</v>
      </c>
      <c r="H275">
        <v>0.99</v>
      </c>
      <c r="I275">
        <v>0.78</v>
      </c>
      <c r="J275" s="1" t="s">
        <v>73</v>
      </c>
    </row>
    <row r="276" spans="1:10">
      <c r="A276">
        <v>275</v>
      </c>
      <c r="B276">
        <v>0.64</v>
      </c>
      <c r="C276">
        <v>0.38</v>
      </c>
      <c r="D276">
        <v>0.04</v>
      </c>
      <c r="E276">
        <v>0.17</v>
      </c>
      <c r="F276">
        <v>-0.36</v>
      </c>
      <c r="G276">
        <v>-1.01</v>
      </c>
      <c r="H276">
        <v>-0.48</v>
      </c>
      <c r="I276">
        <v>-0.91</v>
      </c>
      <c r="J276" s="1" t="s">
        <v>74</v>
      </c>
    </row>
    <row r="277" spans="1:10">
      <c r="A277">
        <v>276</v>
      </c>
      <c r="B277">
        <v>0.64</v>
      </c>
      <c r="C277">
        <v>0.38</v>
      </c>
      <c r="D277">
        <v>0.56999999999999995</v>
      </c>
      <c r="E277">
        <v>0.17</v>
      </c>
      <c r="F277">
        <v>0.33</v>
      </c>
      <c r="G277">
        <v>0.2</v>
      </c>
      <c r="H277">
        <v>-0.48</v>
      </c>
      <c r="I277">
        <v>0.78</v>
      </c>
      <c r="J277" s="1" t="s">
        <v>73</v>
      </c>
    </row>
    <row r="278" spans="1:10">
      <c r="A278">
        <v>277</v>
      </c>
      <c r="B278">
        <v>0.64</v>
      </c>
      <c r="C278">
        <v>-0.89</v>
      </c>
      <c r="D278">
        <v>0.04</v>
      </c>
      <c r="E278">
        <v>0.48</v>
      </c>
      <c r="F278">
        <v>0.33</v>
      </c>
      <c r="G278">
        <v>0.2</v>
      </c>
      <c r="H278">
        <v>-0.48</v>
      </c>
      <c r="I278">
        <v>0.78</v>
      </c>
      <c r="J278" s="1" t="s">
        <v>73</v>
      </c>
    </row>
    <row r="279" spans="1:10">
      <c r="A279">
        <v>278</v>
      </c>
      <c r="B279">
        <v>-0.83</v>
      </c>
      <c r="C279">
        <v>-0.89</v>
      </c>
      <c r="D279">
        <v>0.04</v>
      </c>
      <c r="E279">
        <v>0.17</v>
      </c>
      <c r="F279">
        <v>-0.36</v>
      </c>
      <c r="G279">
        <v>0.2</v>
      </c>
      <c r="H279">
        <v>-0.48</v>
      </c>
      <c r="I279">
        <v>0.78</v>
      </c>
      <c r="J279" s="1" t="s">
        <v>73</v>
      </c>
    </row>
    <row r="280" spans="1:10">
      <c r="A280">
        <v>279</v>
      </c>
      <c r="B280">
        <v>0.64</v>
      </c>
      <c r="C280">
        <v>0.38</v>
      </c>
      <c r="D280">
        <v>0.56999999999999995</v>
      </c>
      <c r="E280">
        <v>0.17</v>
      </c>
      <c r="F280">
        <v>0.33</v>
      </c>
      <c r="G280">
        <v>-1.01</v>
      </c>
      <c r="H280">
        <v>-0.48</v>
      </c>
      <c r="I280">
        <v>-0.91</v>
      </c>
      <c r="J280" s="1" t="s">
        <v>74</v>
      </c>
    </row>
    <row r="281" spans="1:10">
      <c r="A281">
        <v>280</v>
      </c>
      <c r="B281">
        <v>0.64</v>
      </c>
      <c r="C281">
        <v>-0.89</v>
      </c>
      <c r="D281">
        <v>0.04</v>
      </c>
      <c r="E281">
        <v>-0.16</v>
      </c>
      <c r="F281">
        <v>-0.36</v>
      </c>
      <c r="G281">
        <v>0.2</v>
      </c>
      <c r="H281">
        <v>-0.48</v>
      </c>
      <c r="I281">
        <v>0.78</v>
      </c>
      <c r="J281" s="1" t="s">
        <v>73</v>
      </c>
    </row>
    <row r="282" spans="1:10">
      <c r="A282">
        <v>281</v>
      </c>
      <c r="B282">
        <v>0.64</v>
      </c>
      <c r="C282">
        <v>0.38</v>
      </c>
      <c r="D282">
        <v>-0.32</v>
      </c>
      <c r="E282">
        <v>0.17</v>
      </c>
      <c r="F282">
        <v>-0.36</v>
      </c>
      <c r="G282">
        <v>0.2</v>
      </c>
      <c r="H282">
        <v>2.42</v>
      </c>
      <c r="I282">
        <v>0.78</v>
      </c>
      <c r="J282" s="1" t="s">
        <v>74</v>
      </c>
    </row>
    <row r="283" spans="1:10">
      <c r="A283">
        <v>282</v>
      </c>
      <c r="B283">
        <v>-0.28000000000000003</v>
      </c>
      <c r="C283">
        <v>0.38</v>
      </c>
      <c r="D283">
        <v>0.04</v>
      </c>
      <c r="E283">
        <v>0.48</v>
      </c>
      <c r="F283">
        <v>-0.36</v>
      </c>
      <c r="G283">
        <v>-1.01</v>
      </c>
      <c r="H283">
        <v>-0.48</v>
      </c>
      <c r="I283">
        <v>-0.91</v>
      </c>
      <c r="J283" s="1" t="s">
        <v>73</v>
      </c>
    </row>
    <row r="284" spans="1:10">
      <c r="A284">
        <v>283</v>
      </c>
      <c r="B284">
        <v>-0.28000000000000003</v>
      </c>
      <c r="C284">
        <v>-0.89</v>
      </c>
      <c r="D284">
        <v>0.04</v>
      </c>
      <c r="E284">
        <v>0.17</v>
      </c>
      <c r="F284">
        <v>1.26</v>
      </c>
      <c r="G284">
        <v>1.1499999999999999</v>
      </c>
      <c r="H284">
        <v>0.99</v>
      </c>
      <c r="I284">
        <v>0.78</v>
      </c>
      <c r="J284" s="1" t="s">
        <v>74</v>
      </c>
    </row>
    <row r="285" spans="1:10">
      <c r="A285">
        <v>284</v>
      </c>
      <c r="B285">
        <v>-0.75</v>
      </c>
      <c r="C285">
        <v>0.38</v>
      </c>
      <c r="D285">
        <v>0.04</v>
      </c>
      <c r="E285">
        <v>-0.16</v>
      </c>
      <c r="F285">
        <v>-0.36</v>
      </c>
      <c r="G285">
        <v>-1.01</v>
      </c>
      <c r="H285">
        <v>-0.48</v>
      </c>
      <c r="I285">
        <v>-0.91</v>
      </c>
      <c r="J285" s="1" t="s">
        <v>73</v>
      </c>
    </row>
    <row r="286" spans="1:10">
      <c r="A286">
        <v>285</v>
      </c>
      <c r="B286">
        <v>0.64</v>
      </c>
      <c r="C286">
        <v>0.38</v>
      </c>
      <c r="D286">
        <v>0.04</v>
      </c>
      <c r="E286">
        <v>0.17</v>
      </c>
      <c r="F286">
        <v>-0.36</v>
      </c>
      <c r="G286">
        <v>-1.01</v>
      </c>
      <c r="H286">
        <v>-0.48</v>
      </c>
      <c r="I286">
        <v>-0.91</v>
      </c>
      <c r="J286" s="1" t="s">
        <v>74</v>
      </c>
    </row>
    <row r="287" spans="1:10">
      <c r="A287">
        <v>286</v>
      </c>
      <c r="B287">
        <v>0.64</v>
      </c>
      <c r="C287">
        <v>0.38</v>
      </c>
      <c r="D287">
        <v>-0.32</v>
      </c>
      <c r="E287">
        <v>0.17</v>
      </c>
      <c r="F287">
        <v>1.26</v>
      </c>
      <c r="G287">
        <v>0.2</v>
      </c>
      <c r="H287">
        <v>1.55</v>
      </c>
      <c r="I287">
        <v>0.45</v>
      </c>
      <c r="J287" s="1" t="s">
        <v>74</v>
      </c>
    </row>
    <row r="288" spans="1:10">
      <c r="A288">
        <v>287</v>
      </c>
      <c r="B288">
        <v>0.64</v>
      </c>
      <c r="C288">
        <v>-0.89</v>
      </c>
      <c r="D288">
        <v>0.56999999999999995</v>
      </c>
      <c r="E288">
        <v>0.17</v>
      </c>
      <c r="F288">
        <v>0.33</v>
      </c>
      <c r="G288">
        <v>0.2</v>
      </c>
      <c r="H288">
        <v>0.99</v>
      </c>
      <c r="I288">
        <v>0.78</v>
      </c>
      <c r="J288" s="1" t="s">
        <v>74</v>
      </c>
    </row>
    <row r="289" spans="1:10">
      <c r="A289">
        <v>288</v>
      </c>
      <c r="B289">
        <v>0.64</v>
      </c>
      <c r="C289">
        <v>0.38</v>
      </c>
      <c r="D289">
        <v>0.04</v>
      </c>
      <c r="E289">
        <v>0.17</v>
      </c>
      <c r="F289">
        <v>-0.36</v>
      </c>
      <c r="G289">
        <v>0.2</v>
      </c>
      <c r="H289">
        <v>-0.48</v>
      </c>
      <c r="I289">
        <v>0.78</v>
      </c>
      <c r="J289" s="1" t="s">
        <v>73</v>
      </c>
    </row>
    <row r="290" spans="1:10">
      <c r="A290">
        <v>289</v>
      </c>
      <c r="B290">
        <v>-0.28000000000000003</v>
      </c>
      <c r="C290">
        <v>0.38</v>
      </c>
      <c r="D290">
        <v>0.04</v>
      </c>
      <c r="E290">
        <v>0.17</v>
      </c>
      <c r="F290">
        <v>0.33</v>
      </c>
      <c r="G290">
        <v>-1.01</v>
      </c>
      <c r="H290">
        <v>-0.48</v>
      </c>
      <c r="I290">
        <v>-0.91</v>
      </c>
      <c r="J290" s="1" t="s">
        <v>73</v>
      </c>
    </row>
    <row r="291" spans="1:10">
      <c r="A291">
        <v>290</v>
      </c>
      <c r="B291">
        <v>-0.28000000000000003</v>
      </c>
      <c r="C291">
        <v>0.38</v>
      </c>
      <c r="D291">
        <v>-0.32</v>
      </c>
      <c r="E291">
        <v>0.17</v>
      </c>
      <c r="F291">
        <v>-0.36</v>
      </c>
      <c r="G291">
        <v>-1.01</v>
      </c>
      <c r="H291">
        <v>-0.48</v>
      </c>
      <c r="I291">
        <v>0.45</v>
      </c>
      <c r="J291" s="1" t="s">
        <v>73</v>
      </c>
    </row>
    <row r="292" spans="1:10">
      <c r="A292">
        <v>291</v>
      </c>
      <c r="B292">
        <v>0.17</v>
      </c>
      <c r="C292">
        <v>0.38</v>
      </c>
      <c r="D292">
        <v>0.56999999999999995</v>
      </c>
      <c r="E292">
        <v>0.17</v>
      </c>
      <c r="F292">
        <v>0.33</v>
      </c>
      <c r="G292">
        <v>0.2</v>
      </c>
      <c r="H292">
        <v>-0.48</v>
      </c>
      <c r="I292">
        <v>0.78</v>
      </c>
      <c r="J292" s="1" t="s">
        <v>74</v>
      </c>
    </row>
    <row r="293" spans="1:10">
      <c r="A293">
        <v>292</v>
      </c>
      <c r="B293">
        <v>-0.28000000000000003</v>
      </c>
      <c r="C293">
        <v>-0.89</v>
      </c>
      <c r="D293">
        <v>0.04</v>
      </c>
      <c r="E293">
        <v>0.17</v>
      </c>
      <c r="F293">
        <v>-0.36</v>
      </c>
      <c r="G293">
        <v>-1.01</v>
      </c>
      <c r="H293">
        <v>-0.48</v>
      </c>
      <c r="I293">
        <v>-0.91</v>
      </c>
      <c r="J293" s="1" t="s">
        <v>73</v>
      </c>
    </row>
    <row r="294" spans="1:10">
      <c r="A294">
        <v>293</v>
      </c>
      <c r="B294">
        <v>-0.83</v>
      </c>
      <c r="C294">
        <v>0.38</v>
      </c>
      <c r="D294">
        <v>-0.32</v>
      </c>
      <c r="E294">
        <v>-0.16</v>
      </c>
      <c r="F294">
        <v>-0.36</v>
      </c>
      <c r="G294">
        <v>0.2</v>
      </c>
      <c r="H294">
        <v>0.99</v>
      </c>
      <c r="I294">
        <v>0.45</v>
      </c>
      <c r="J294" s="1" t="s">
        <v>74</v>
      </c>
    </row>
    <row r="295" spans="1:10">
      <c r="A295">
        <v>294</v>
      </c>
      <c r="B295">
        <v>0.64</v>
      </c>
      <c r="C295">
        <v>0.38</v>
      </c>
      <c r="D295">
        <v>0.04</v>
      </c>
      <c r="E295">
        <v>-0.16</v>
      </c>
      <c r="F295">
        <v>0.33</v>
      </c>
      <c r="G295">
        <v>0.2</v>
      </c>
      <c r="H295">
        <v>2.42</v>
      </c>
      <c r="I295">
        <v>-0.91</v>
      </c>
      <c r="J295" s="1" t="s">
        <v>74</v>
      </c>
    </row>
    <row r="296" spans="1:10">
      <c r="A296">
        <v>295</v>
      </c>
      <c r="B296">
        <v>0.64</v>
      </c>
      <c r="C296">
        <v>-0.89</v>
      </c>
      <c r="D296">
        <v>0.04</v>
      </c>
      <c r="E296">
        <v>-0.16</v>
      </c>
      <c r="F296">
        <v>-0.36</v>
      </c>
      <c r="G296">
        <v>0.2</v>
      </c>
      <c r="H296">
        <v>-0.48</v>
      </c>
      <c r="I296">
        <v>0.78</v>
      </c>
      <c r="J296" s="1" t="s">
        <v>74</v>
      </c>
    </row>
    <row r="297" spans="1:10">
      <c r="A297">
        <v>296</v>
      </c>
      <c r="B297">
        <v>-0.83</v>
      </c>
      <c r="C297">
        <v>0.38</v>
      </c>
      <c r="D297">
        <v>-0.32</v>
      </c>
      <c r="E297">
        <v>-0.16</v>
      </c>
      <c r="F297">
        <v>-0.36</v>
      </c>
      <c r="G297">
        <v>-1.01</v>
      </c>
      <c r="H297">
        <v>-0.48</v>
      </c>
      <c r="I297">
        <v>-0.91</v>
      </c>
      <c r="J297" s="1" t="s">
        <v>73</v>
      </c>
    </row>
    <row r="298" spans="1:10">
      <c r="A298">
        <v>297</v>
      </c>
      <c r="B298">
        <v>0.64</v>
      </c>
      <c r="C298">
        <v>0.38</v>
      </c>
      <c r="D298">
        <v>0.56999999999999995</v>
      </c>
      <c r="E298">
        <v>-0.16</v>
      </c>
      <c r="F298">
        <v>0.33</v>
      </c>
      <c r="G298">
        <v>2.11</v>
      </c>
      <c r="H298">
        <v>-0.48</v>
      </c>
      <c r="I298">
        <v>0.78</v>
      </c>
      <c r="J298" s="1" t="s">
        <v>74</v>
      </c>
    </row>
    <row r="299" spans="1:10">
      <c r="A299">
        <v>298</v>
      </c>
      <c r="B299">
        <v>0.64</v>
      </c>
      <c r="C299">
        <v>-0.89</v>
      </c>
      <c r="D299">
        <v>0.04</v>
      </c>
      <c r="E299">
        <v>0.17</v>
      </c>
      <c r="F299">
        <v>-0.36</v>
      </c>
      <c r="G299">
        <v>1.1499999999999999</v>
      </c>
      <c r="H299">
        <v>-0.48</v>
      </c>
      <c r="I299">
        <v>0.78</v>
      </c>
      <c r="J299" s="1" t="s">
        <v>74</v>
      </c>
    </row>
    <row r="300" spans="1:10">
      <c r="A300">
        <v>299</v>
      </c>
      <c r="B300">
        <v>-0.83</v>
      </c>
      <c r="C300">
        <v>0.38</v>
      </c>
      <c r="D300">
        <v>-0.32</v>
      </c>
      <c r="E300">
        <v>0.48</v>
      </c>
      <c r="F300">
        <v>-0.36</v>
      </c>
      <c r="G300">
        <v>0.2</v>
      </c>
      <c r="H300">
        <v>-0.48</v>
      </c>
      <c r="I300">
        <v>0.78</v>
      </c>
      <c r="J300" s="1" t="s">
        <v>74</v>
      </c>
    </row>
    <row r="301" spans="1:10">
      <c r="A301">
        <v>300</v>
      </c>
      <c r="B301">
        <v>0.17</v>
      </c>
      <c r="C301">
        <v>0.38</v>
      </c>
      <c r="D301">
        <v>0.04</v>
      </c>
      <c r="E301">
        <v>-0.16</v>
      </c>
      <c r="F301">
        <v>-0.36</v>
      </c>
      <c r="G301">
        <v>0.2</v>
      </c>
      <c r="H301">
        <v>2.42</v>
      </c>
      <c r="I301">
        <v>0.78</v>
      </c>
      <c r="J301" s="1" t="s">
        <v>74</v>
      </c>
    </row>
    <row r="302" spans="1:10">
      <c r="A302">
        <v>301</v>
      </c>
      <c r="B302">
        <v>0.64</v>
      </c>
      <c r="C302">
        <v>0.38</v>
      </c>
      <c r="D302">
        <v>0.04</v>
      </c>
      <c r="E302">
        <v>-0.16</v>
      </c>
      <c r="F302">
        <v>-0.36</v>
      </c>
      <c r="G302">
        <v>1.1499999999999999</v>
      </c>
      <c r="H302">
        <v>-0.48</v>
      </c>
      <c r="I302">
        <v>0.78</v>
      </c>
      <c r="J302" s="1" t="s">
        <v>74</v>
      </c>
    </row>
    <row r="303" spans="1:10">
      <c r="A303">
        <v>302</v>
      </c>
      <c r="B303">
        <v>0.64</v>
      </c>
      <c r="C303">
        <v>-0.89</v>
      </c>
      <c r="D303">
        <v>0.04</v>
      </c>
      <c r="E303">
        <v>0.17</v>
      </c>
      <c r="F303">
        <v>0.33</v>
      </c>
      <c r="G303">
        <v>-1.01</v>
      </c>
      <c r="H303">
        <v>-0.48</v>
      </c>
      <c r="I303">
        <v>0.78</v>
      </c>
      <c r="J303" s="1" t="s">
        <v>74</v>
      </c>
    </row>
    <row r="304" spans="1:10">
      <c r="A304">
        <v>303</v>
      </c>
      <c r="B304">
        <v>-0.83</v>
      </c>
      <c r="C304">
        <v>0.38</v>
      </c>
      <c r="D304">
        <v>0.04</v>
      </c>
      <c r="E304">
        <v>-0.16</v>
      </c>
      <c r="F304">
        <v>-0.36</v>
      </c>
      <c r="G304">
        <v>-1.01</v>
      </c>
      <c r="H304">
        <v>-0.48</v>
      </c>
      <c r="I304">
        <v>-0.91</v>
      </c>
      <c r="J304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A0FF-0594-432C-87C5-7D98276706C4}">
  <dimension ref="A1:M92"/>
  <sheetViews>
    <sheetView zoomScale="110" zoomScaleNormal="110" workbookViewId="0">
      <selection activeCell="I19" sqref="I19"/>
    </sheetView>
  </sheetViews>
  <sheetFormatPr defaultRowHeight="14.4"/>
  <cols>
    <col min="1" max="1" width="3" bestFit="1" customWidth="1"/>
    <col min="2" max="2" width="12.5546875" bestFit="1" customWidth="1"/>
    <col min="3" max="3" width="13" bestFit="1" customWidth="1"/>
    <col min="4" max="4" width="9.5546875" bestFit="1" customWidth="1"/>
    <col min="6" max="6" width="16.5546875" bestFit="1" customWidth="1"/>
    <col min="7" max="7" width="14.5546875" bestFit="1" customWidth="1"/>
    <col min="8" max="8" width="3.44140625" bestFit="1" customWidth="1"/>
    <col min="9" max="10" width="10.88671875" bestFit="1" customWidth="1"/>
    <col min="11" max="12" width="10.109375" customWidth="1"/>
    <col min="13" max="13" width="13.109375" customWidth="1"/>
    <col min="14" max="14" width="12.5546875" bestFit="1" customWidth="1"/>
  </cols>
  <sheetData>
    <row r="1" spans="1:13">
      <c r="B1" s="15" t="s">
        <v>82</v>
      </c>
      <c r="C1" s="15" t="s">
        <v>83</v>
      </c>
      <c r="D1" s="15" t="s">
        <v>84</v>
      </c>
      <c r="J1" s="1"/>
      <c r="M1" s="1"/>
    </row>
    <row r="2" spans="1:13">
      <c r="A2" s="15">
        <v>0</v>
      </c>
      <c r="B2">
        <v>76</v>
      </c>
      <c r="C2" t="s">
        <v>74</v>
      </c>
      <c r="D2" t="s">
        <v>74</v>
      </c>
      <c r="K2" s="40" t="s">
        <v>85</v>
      </c>
      <c r="L2" s="40"/>
    </row>
    <row r="3" spans="1:13">
      <c r="A3" s="15">
        <v>1</v>
      </c>
      <c r="B3">
        <v>132</v>
      </c>
      <c r="C3" t="s">
        <v>73</v>
      </c>
      <c r="D3" t="s">
        <v>74</v>
      </c>
      <c r="F3" s="5" t="s">
        <v>94</v>
      </c>
      <c r="G3" s="5" t="s">
        <v>104</v>
      </c>
    </row>
    <row r="4" spans="1:13">
      <c r="A4" s="15">
        <v>2</v>
      </c>
      <c r="B4">
        <v>205</v>
      </c>
      <c r="C4" t="s">
        <v>74</v>
      </c>
      <c r="D4" t="s">
        <v>74</v>
      </c>
      <c r="F4" s="5" t="s">
        <v>95</v>
      </c>
      <c r="G4" t="s">
        <v>74</v>
      </c>
      <c r="H4" t="s">
        <v>73</v>
      </c>
      <c r="I4" t="s">
        <v>22</v>
      </c>
      <c r="K4" s="13" t="s">
        <v>86</v>
      </c>
      <c r="L4" s="14">
        <f>G5/(G5+G6)</f>
        <v>0.76190476190476186</v>
      </c>
    </row>
    <row r="5" spans="1:13">
      <c r="A5" s="15">
        <v>3</v>
      </c>
      <c r="B5">
        <v>292</v>
      </c>
      <c r="C5" t="s">
        <v>74</v>
      </c>
      <c r="D5" t="s">
        <v>74</v>
      </c>
      <c r="F5" s="3" t="s">
        <v>74</v>
      </c>
      <c r="G5" s="4">
        <v>32</v>
      </c>
      <c r="H5" s="4">
        <v>16</v>
      </c>
      <c r="I5" s="4">
        <v>48</v>
      </c>
      <c r="K5" s="11"/>
      <c r="L5" s="11"/>
    </row>
    <row r="6" spans="1:13">
      <c r="A6" s="15">
        <v>4</v>
      </c>
      <c r="B6">
        <v>66</v>
      </c>
      <c r="C6" t="s">
        <v>74</v>
      </c>
      <c r="D6" t="s">
        <v>74</v>
      </c>
      <c r="F6" s="3" t="s">
        <v>73</v>
      </c>
      <c r="G6" s="4">
        <v>10</v>
      </c>
      <c r="H6" s="4">
        <v>33</v>
      </c>
      <c r="I6" s="4">
        <v>43</v>
      </c>
      <c r="K6" s="11" t="s">
        <v>87</v>
      </c>
      <c r="L6" s="12">
        <f>G5/SUM(G5:H5)</f>
        <v>0.66666666666666663</v>
      </c>
    </row>
    <row r="7" spans="1:13">
      <c r="A7" s="15">
        <v>5</v>
      </c>
      <c r="B7">
        <v>168</v>
      </c>
      <c r="C7" t="s">
        <v>74</v>
      </c>
      <c r="D7" t="s">
        <v>74</v>
      </c>
      <c r="F7" s="3" t="s">
        <v>22</v>
      </c>
      <c r="G7" s="4">
        <v>42</v>
      </c>
      <c r="H7" s="4">
        <v>49</v>
      </c>
      <c r="I7" s="4">
        <v>91</v>
      </c>
      <c r="K7" s="11"/>
      <c r="L7" s="11"/>
    </row>
    <row r="8" spans="1:13">
      <c r="A8" s="15">
        <v>6</v>
      </c>
      <c r="B8">
        <v>163</v>
      </c>
      <c r="C8" t="s">
        <v>73</v>
      </c>
      <c r="D8" t="s">
        <v>73</v>
      </c>
      <c r="K8" s="11" t="s">
        <v>88</v>
      </c>
      <c r="L8" s="12">
        <f>(G5+H6)/I7</f>
        <v>0.7142857142857143</v>
      </c>
    </row>
    <row r="9" spans="1:13">
      <c r="A9" s="15">
        <v>7</v>
      </c>
      <c r="B9">
        <v>271</v>
      </c>
      <c r="C9" t="s">
        <v>73</v>
      </c>
      <c r="D9" t="s">
        <v>74</v>
      </c>
      <c r="K9" s="11"/>
      <c r="L9" s="11"/>
    </row>
    <row r="10" spans="1:13">
      <c r="A10" s="15">
        <v>8</v>
      </c>
      <c r="B10">
        <v>201</v>
      </c>
      <c r="C10" t="s">
        <v>73</v>
      </c>
      <c r="D10" t="s">
        <v>73</v>
      </c>
      <c r="K10" s="11" t="s">
        <v>89</v>
      </c>
      <c r="L10" s="12">
        <f>2*(L6*L4)/(L4+L6)</f>
        <v>0.71111111111111114</v>
      </c>
    </row>
    <row r="11" spans="1:13">
      <c r="A11" s="15">
        <v>9</v>
      </c>
      <c r="B11">
        <v>83</v>
      </c>
      <c r="C11" t="s">
        <v>74</v>
      </c>
      <c r="D11" t="s">
        <v>74</v>
      </c>
    </row>
    <row r="12" spans="1:13">
      <c r="A12" s="15">
        <v>10</v>
      </c>
      <c r="B12">
        <v>219</v>
      </c>
      <c r="C12" t="s">
        <v>73</v>
      </c>
      <c r="D12" t="s">
        <v>73</v>
      </c>
    </row>
    <row r="13" spans="1:13">
      <c r="A13" s="15">
        <v>11</v>
      </c>
      <c r="B13">
        <v>300</v>
      </c>
      <c r="C13" t="s">
        <v>74</v>
      </c>
      <c r="D13" t="s">
        <v>74</v>
      </c>
      <c r="K13" s="41"/>
      <c r="L13" s="41"/>
    </row>
    <row r="14" spans="1:13">
      <c r="A14" s="15">
        <v>12</v>
      </c>
      <c r="B14">
        <v>213</v>
      </c>
      <c r="C14" t="s">
        <v>74</v>
      </c>
      <c r="D14" t="s">
        <v>73</v>
      </c>
    </row>
    <row r="15" spans="1:13">
      <c r="A15" s="15">
        <v>13</v>
      </c>
      <c r="B15">
        <v>102</v>
      </c>
      <c r="C15" t="s">
        <v>73</v>
      </c>
      <c r="D15" t="s">
        <v>73</v>
      </c>
    </row>
    <row r="16" spans="1:13">
      <c r="A16" s="15">
        <v>14</v>
      </c>
      <c r="B16">
        <v>179</v>
      </c>
      <c r="C16" t="s">
        <v>73</v>
      </c>
      <c r="D16" t="s">
        <v>73</v>
      </c>
    </row>
    <row r="17" spans="1:4">
      <c r="A17" s="15">
        <v>15</v>
      </c>
      <c r="B17">
        <v>277</v>
      </c>
      <c r="C17" t="s">
        <v>73</v>
      </c>
      <c r="D17" t="s">
        <v>73</v>
      </c>
    </row>
    <row r="18" spans="1:4">
      <c r="A18" s="15">
        <v>16</v>
      </c>
      <c r="B18">
        <v>150</v>
      </c>
      <c r="C18" t="s">
        <v>73</v>
      </c>
      <c r="D18" t="s">
        <v>73</v>
      </c>
    </row>
    <row r="19" spans="1:4">
      <c r="A19" s="15">
        <v>17</v>
      </c>
      <c r="B19">
        <v>62</v>
      </c>
      <c r="C19" t="s">
        <v>74</v>
      </c>
      <c r="D19" t="s">
        <v>74</v>
      </c>
    </row>
    <row r="20" spans="1:4">
      <c r="A20" s="15">
        <v>18</v>
      </c>
      <c r="B20">
        <v>212</v>
      </c>
      <c r="C20" t="s">
        <v>73</v>
      </c>
      <c r="D20" t="s">
        <v>74</v>
      </c>
    </row>
    <row r="21" spans="1:4">
      <c r="A21" s="15">
        <v>19</v>
      </c>
      <c r="B21">
        <v>270</v>
      </c>
      <c r="C21" t="s">
        <v>74</v>
      </c>
      <c r="D21" t="s">
        <v>74</v>
      </c>
    </row>
    <row r="22" spans="1:4">
      <c r="A22" s="15">
        <v>20</v>
      </c>
      <c r="B22">
        <v>6</v>
      </c>
      <c r="C22" t="s">
        <v>74</v>
      </c>
      <c r="D22" t="s">
        <v>74</v>
      </c>
    </row>
    <row r="23" spans="1:4">
      <c r="A23" s="15">
        <v>21</v>
      </c>
      <c r="B23">
        <v>160</v>
      </c>
      <c r="C23" t="s">
        <v>73</v>
      </c>
      <c r="D23" t="s">
        <v>74</v>
      </c>
    </row>
    <row r="24" spans="1:4">
      <c r="A24" s="15">
        <v>22</v>
      </c>
      <c r="B24">
        <v>261</v>
      </c>
      <c r="C24" t="s">
        <v>74</v>
      </c>
      <c r="D24" t="s">
        <v>73</v>
      </c>
    </row>
    <row r="25" spans="1:4">
      <c r="A25" s="15">
        <v>23</v>
      </c>
      <c r="B25">
        <v>131</v>
      </c>
      <c r="C25" t="s">
        <v>73</v>
      </c>
      <c r="D25" t="s">
        <v>74</v>
      </c>
    </row>
    <row r="26" spans="1:4">
      <c r="A26" s="15">
        <v>24</v>
      </c>
      <c r="B26">
        <v>3</v>
      </c>
      <c r="C26" t="s">
        <v>73</v>
      </c>
      <c r="D26" t="s">
        <v>74</v>
      </c>
    </row>
    <row r="27" spans="1:4">
      <c r="A27" s="15">
        <v>25</v>
      </c>
      <c r="B27">
        <v>21</v>
      </c>
      <c r="C27" t="s">
        <v>73</v>
      </c>
      <c r="D27" t="s">
        <v>73</v>
      </c>
    </row>
    <row r="28" spans="1:4">
      <c r="A28" s="15">
        <v>26</v>
      </c>
      <c r="B28">
        <v>175</v>
      </c>
      <c r="C28" t="s">
        <v>74</v>
      </c>
      <c r="D28" t="s">
        <v>74</v>
      </c>
    </row>
    <row r="29" spans="1:4">
      <c r="A29" s="15">
        <v>27</v>
      </c>
      <c r="B29">
        <v>192</v>
      </c>
      <c r="C29" t="s">
        <v>74</v>
      </c>
      <c r="D29" t="s">
        <v>74</v>
      </c>
    </row>
    <row r="30" spans="1:4">
      <c r="A30" s="15">
        <v>28</v>
      </c>
      <c r="B30">
        <v>262</v>
      </c>
      <c r="C30" t="s">
        <v>73</v>
      </c>
      <c r="D30" t="s">
        <v>73</v>
      </c>
    </row>
    <row r="31" spans="1:4">
      <c r="A31" s="15">
        <v>29</v>
      </c>
      <c r="B31">
        <v>137</v>
      </c>
      <c r="C31" t="s">
        <v>74</v>
      </c>
      <c r="D31" t="s">
        <v>74</v>
      </c>
    </row>
    <row r="32" spans="1:4">
      <c r="A32" s="15">
        <v>30</v>
      </c>
      <c r="B32">
        <v>34</v>
      </c>
      <c r="C32" t="s">
        <v>73</v>
      </c>
      <c r="D32" t="s">
        <v>73</v>
      </c>
    </row>
    <row r="33" spans="1:4">
      <c r="A33" s="15">
        <v>31</v>
      </c>
      <c r="B33">
        <v>124</v>
      </c>
      <c r="C33" t="s">
        <v>74</v>
      </c>
      <c r="D33" t="s">
        <v>73</v>
      </c>
    </row>
    <row r="34" spans="1:4">
      <c r="A34" s="15">
        <v>32</v>
      </c>
      <c r="B34">
        <v>31</v>
      </c>
      <c r="C34" t="s">
        <v>74</v>
      </c>
      <c r="D34" t="s">
        <v>74</v>
      </c>
    </row>
    <row r="35" spans="1:4">
      <c r="A35" s="15">
        <v>33</v>
      </c>
      <c r="B35">
        <v>302</v>
      </c>
      <c r="C35" t="s">
        <v>73</v>
      </c>
      <c r="D35" t="s">
        <v>73</v>
      </c>
    </row>
    <row r="36" spans="1:4">
      <c r="A36" s="15">
        <v>34</v>
      </c>
      <c r="B36">
        <v>263</v>
      </c>
      <c r="C36" t="s">
        <v>73</v>
      </c>
      <c r="D36" t="s">
        <v>73</v>
      </c>
    </row>
    <row r="37" spans="1:4">
      <c r="A37" s="15">
        <v>35</v>
      </c>
      <c r="B37">
        <v>256</v>
      </c>
      <c r="C37" t="s">
        <v>73</v>
      </c>
      <c r="D37" t="s">
        <v>73</v>
      </c>
    </row>
    <row r="38" spans="1:4">
      <c r="A38" s="15">
        <v>36</v>
      </c>
      <c r="B38">
        <v>33</v>
      </c>
      <c r="C38" t="s">
        <v>73</v>
      </c>
      <c r="D38" t="s">
        <v>73</v>
      </c>
    </row>
    <row r="39" spans="1:4">
      <c r="A39" s="15">
        <v>37</v>
      </c>
      <c r="B39">
        <v>67</v>
      </c>
      <c r="C39" t="s">
        <v>73</v>
      </c>
      <c r="D39" t="s">
        <v>74</v>
      </c>
    </row>
    <row r="40" spans="1:4">
      <c r="A40" s="15">
        <v>38</v>
      </c>
      <c r="B40">
        <v>27</v>
      </c>
      <c r="C40" t="s">
        <v>73</v>
      </c>
      <c r="D40" t="s">
        <v>74</v>
      </c>
    </row>
    <row r="41" spans="1:4">
      <c r="A41" s="15">
        <v>39</v>
      </c>
      <c r="B41">
        <v>100</v>
      </c>
      <c r="C41" t="s">
        <v>73</v>
      </c>
      <c r="D41" t="s">
        <v>73</v>
      </c>
    </row>
    <row r="42" spans="1:4">
      <c r="A42" s="15">
        <v>40</v>
      </c>
      <c r="B42">
        <v>187</v>
      </c>
      <c r="C42" t="s">
        <v>74</v>
      </c>
      <c r="D42" t="s">
        <v>74</v>
      </c>
    </row>
    <row r="43" spans="1:4">
      <c r="A43" s="15">
        <v>41</v>
      </c>
      <c r="B43">
        <v>204</v>
      </c>
      <c r="C43" t="s">
        <v>73</v>
      </c>
      <c r="D43" t="s">
        <v>73</v>
      </c>
    </row>
    <row r="44" spans="1:4">
      <c r="A44" s="15">
        <v>42</v>
      </c>
      <c r="B44">
        <v>64</v>
      </c>
      <c r="C44" t="s">
        <v>74</v>
      </c>
      <c r="D44" t="s">
        <v>74</v>
      </c>
    </row>
    <row r="45" spans="1:4">
      <c r="A45" s="15">
        <v>43</v>
      </c>
      <c r="B45">
        <v>268</v>
      </c>
      <c r="C45" t="s">
        <v>74</v>
      </c>
      <c r="D45" t="s">
        <v>73</v>
      </c>
    </row>
    <row r="46" spans="1:4">
      <c r="A46" s="15">
        <v>44</v>
      </c>
      <c r="B46">
        <v>211</v>
      </c>
      <c r="C46" t="s">
        <v>74</v>
      </c>
      <c r="D46" t="s">
        <v>74</v>
      </c>
    </row>
    <row r="47" spans="1:4">
      <c r="A47" s="15">
        <v>45</v>
      </c>
      <c r="B47">
        <v>155</v>
      </c>
      <c r="C47" t="s">
        <v>74</v>
      </c>
      <c r="D47" t="s">
        <v>74</v>
      </c>
    </row>
    <row r="48" spans="1:4">
      <c r="A48" s="15">
        <v>46</v>
      </c>
      <c r="B48">
        <v>284</v>
      </c>
      <c r="C48" t="s">
        <v>74</v>
      </c>
      <c r="D48" t="s">
        <v>73</v>
      </c>
    </row>
    <row r="49" spans="1:4">
      <c r="A49" s="15">
        <v>47</v>
      </c>
      <c r="B49">
        <v>115</v>
      </c>
      <c r="C49" t="s">
        <v>73</v>
      </c>
      <c r="D49" t="s">
        <v>74</v>
      </c>
    </row>
    <row r="50" spans="1:4">
      <c r="A50" s="15">
        <v>48</v>
      </c>
      <c r="B50">
        <v>56</v>
      </c>
      <c r="C50" t="s">
        <v>74</v>
      </c>
      <c r="D50" t="s">
        <v>73</v>
      </c>
    </row>
    <row r="51" spans="1:4">
      <c r="A51" s="15">
        <v>49</v>
      </c>
      <c r="B51">
        <v>89</v>
      </c>
      <c r="C51" t="s">
        <v>73</v>
      </c>
      <c r="D51" t="s">
        <v>73</v>
      </c>
    </row>
    <row r="52" spans="1:4">
      <c r="A52" s="15">
        <v>50</v>
      </c>
      <c r="B52">
        <v>126</v>
      </c>
      <c r="C52" t="s">
        <v>74</v>
      </c>
      <c r="D52" t="s">
        <v>74</v>
      </c>
    </row>
    <row r="53" spans="1:4">
      <c r="A53" s="15">
        <v>51</v>
      </c>
      <c r="B53">
        <v>166</v>
      </c>
      <c r="C53" t="s">
        <v>73</v>
      </c>
      <c r="D53" t="s">
        <v>73</v>
      </c>
    </row>
    <row r="54" spans="1:4">
      <c r="A54" s="15">
        <v>52</v>
      </c>
      <c r="B54">
        <v>94</v>
      </c>
      <c r="C54" t="s">
        <v>73</v>
      </c>
      <c r="D54" t="s">
        <v>73</v>
      </c>
    </row>
    <row r="55" spans="1:4">
      <c r="A55" s="15">
        <v>53</v>
      </c>
      <c r="B55">
        <v>236</v>
      </c>
      <c r="C55" t="s">
        <v>74</v>
      </c>
      <c r="D55" t="s">
        <v>74</v>
      </c>
    </row>
    <row r="56" spans="1:4">
      <c r="A56" s="15">
        <v>54</v>
      </c>
      <c r="B56">
        <v>244</v>
      </c>
      <c r="C56" t="s">
        <v>73</v>
      </c>
      <c r="D56" t="s">
        <v>73</v>
      </c>
    </row>
    <row r="57" spans="1:4">
      <c r="A57" s="15">
        <v>55</v>
      </c>
      <c r="B57">
        <v>233</v>
      </c>
      <c r="C57" t="s">
        <v>73</v>
      </c>
      <c r="D57" t="s">
        <v>73</v>
      </c>
    </row>
    <row r="58" spans="1:4">
      <c r="A58" s="15">
        <v>56</v>
      </c>
      <c r="B58">
        <v>134</v>
      </c>
      <c r="C58" t="s">
        <v>73</v>
      </c>
      <c r="D58" t="s">
        <v>73</v>
      </c>
    </row>
    <row r="59" spans="1:4">
      <c r="A59" s="15">
        <v>57</v>
      </c>
      <c r="B59">
        <v>243</v>
      </c>
      <c r="C59" t="s">
        <v>74</v>
      </c>
      <c r="D59" t="s">
        <v>74</v>
      </c>
    </row>
    <row r="60" spans="1:4">
      <c r="A60" s="15">
        <v>58</v>
      </c>
      <c r="B60">
        <v>87</v>
      </c>
      <c r="C60" t="s">
        <v>73</v>
      </c>
      <c r="D60" t="s">
        <v>73</v>
      </c>
    </row>
    <row r="61" spans="1:4">
      <c r="A61" s="15">
        <v>59</v>
      </c>
      <c r="B61">
        <v>282</v>
      </c>
      <c r="C61" t="s">
        <v>74</v>
      </c>
      <c r="D61" t="s">
        <v>74</v>
      </c>
    </row>
    <row r="62" spans="1:4">
      <c r="A62" s="15">
        <v>60</v>
      </c>
      <c r="B62">
        <v>5</v>
      </c>
      <c r="C62" t="s">
        <v>73</v>
      </c>
      <c r="D62" t="s">
        <v>73</v>
      </c>
    </row>
    <row r="63" spans="1:4">
      <c r="A63" s="15">
        <v>61</v>
      </c>
      <c r="B63">
        <v>114</v>
      </c>
      <c r="C63" t="s">
        <v>74</v>
      </c>
      <c r="D63" t="s">
        <v>73</v>
      </c>
    </row>
    <row r="64" spans="1:4">
      <c r="A64" s="15">
        <v>62</v>
      </c>
      <c r="B64">
        <v>157</v>
      </c>
      <c r="C64" t="s">
        <v>74</v>
      </c>
      <c r="D64" t="s">
        <v>73</v>
      </c>
    </row>
    <row r="65" spans="1:4">
      <c r="A65" s="15">
        <v>63</v>
      </c>
      <c r="B65">
        <v>296</v>
      </c>
      <c r="C65" t="s">
        <v>74</v>
      </c>
      <c r="D65" t="s">
        <v>74</v>
      </c>
    </row>
    <row r="66" spans="1:4">
      <c r="A66" s="15">
        <v>64</v>
      </c>
      <c r="B66">
        <v>186</v>
      </c>
      <c r="C66" t="s">
        <v>73</v>
      </c>
      <c r="D66" t="s">
        <v>74</v>
      </c>
    </row>
    <row r="67" spans="1:4">
      <c r="A67" s="15">
        <v>65</v>
      </c>
      <c r="B67">
        <v>297</v>
      </c>
      <c r="C67" t="s">
        <v>74</v>
      </c>
      <c r="D67" t="s">
        <v>73</v>
      </c>
    </row>
    <row r="68" spans="1:4">
      <c r="A68" s="15">
        <v>66</v>
      </c>
      <c r="B68">
        <v>291</v>
      </c>
      <c r="C68" t="s">
        <v>73</v>
      </c>
      <c r="D68" t="s">
        <v>73</v>
      </c>
    </row>
    <row r="69" spans="1:4">
      <c r="A69" s="15">
        <v>67</v>
      </c>
      <c r="B69">
        <v>231</v>
      </c>
      <c r="C69" t="s">
        <v>74</v>
      </c>
      <c r="D69" t="s">
        <v>74</v>
      </c>
    </row>
    <row r="70" spans="1:4">
      <c r="A70" s="15">
        <v>68</v>
      </c>
      <c r="B70">
        <v>285</v>
      </c>
      <c r="C70" t="s">
        <v>74</v>
      </c>
      <c r="D70" t="s">
        <v>74</v>
      </c>
    </row>
    <row r="71" spans="1:4">
      <c r="A71" s="15">
        <v>69</v>
      </c>
      <c r="B71">
        <v>185</v>
      </c>
      <c r="C71" t="s">
        <v>73</v>
      </c>
      <c r="D71" t="s">
        <v>73</v>
      </c>
    </row>
    <row r="72" spans="1:4">
      <c r="A72" s="15">
        <v>70</v>
      </c>
      <c r="B72">
        <v>113</v>
      </c>
      <c r="C72" t="s">
        <v>74</v>
      </c>
      <c r="D72" t="s">
        <v>74</v>
      </c>
    </row>
    <row r="73" spans="1:4">
      <c r="A73" s="15">
        <v>71</v>
      </c>
      <c r="B73">
        <v>101</v>
      </c>
      <c r="C73" t="s">
        <v>73</v>
      </c>
      <c r="D73" t="s">
        <v>73</v>
      </c>
    </row>
    <row r="74" spans="1:4">
      <c r="A74" s="15">
        <v>72</v>
      </c>
      <c r="B74">
        <v>20</v>
      </c>
      <c r="C74" t="s">
        <v>73</v>
      </c>
      <c r="D74" t="s">
        <v>74</v>
      </c>
    </row>
    <row r="75" spans="1:4">
      <c r="A75" s="15">
        <v>73</v>
      </c>
      <c r="B75">
        <v>264</v>
      </c>
      <c r="C75" t="s">
        <v>74</v>
      </c>
      <c r="D75" t="s">
        <v>74</v>
      </c>
    </row>
    <row r="76" spans="1:4">
      <c r="A76" s="15">
        <v>74</v>
      </c>
      <c r="B76">
        <v>197</v>
      </c>
      <c r="C76" t="s">
        <v>73</v>
      </c>
      <c r="D76" t="s">
        <v>73</v>
      </c>
    </row>
    <row r="77" spans="1:4">
      <c r="A77" s="15">
        <v>75</v>
      </c>
      <c r="B77">
        <v>234</v>
      </c>
      <c r="C77" t="s">
        <v>73</v>
      </c>
      <c r="D77" t="s">
        <v>73</v>
      </c>
    </row>
    <row r="78" spans="1:4">
      <c r="A78" s="15">
        <v>76</v>
      </c>
      <c r="B78">
        <v>287</v>
      </c>
      <c r="C78" t="s">
        <v>73</v>
      </c>
      <c r="D78" t="s">
        <v>74</v>
      </c>
    </row>
    <row r="79" spans="1:4">
      <c r="A79" s="15">
        <v>77</v>
      </c>
      <c r="B79">
        <v>172</v>
      </c>
      <c r="C79" t="s">
        <v>74</v>
      </c>
      <c r="D79" t="s">
        <v>73</v>
      </c>
    </row>
    <row r="80" spans="1:4">
      <c r="A80" s="15">
        <v>78</v>
      </c>
      <c r="B80">
        <v>69</v>
      </c>
      <c r="C80" t="s">
        <v>74</v>
      </c>
      <c r="D80" t="s">
        <v>74</v>
      </c>
    </row>
    <row r="81" spans="1:4">
      <c r="A81" s="15">
        <v>79</v>
      </c>
      <c r="B81">
        <v>23</v>
      </c>
      <c r="C81" t="s">
        <v>74</v>
      </c>
      <c r="D81" t="s">
        <v>74</v>
      </c>
    </row>
    <row r="82" spans="1:4">
      <c r="A82" s="15">
        <v>80</v>
      </c>
      <c r="B82">
        <v>14</v>
      </c>
      <c r="C82" t="s">
        <v>73</v>
      </c>
      <c r="D82" t="s">
        <v>73</v>
      </c>
    </row>
    <row r="83" spans="1:4">
      <c r="A83" s="15">
        <v>81</v>
      </c>
      <c r="B83">
        <v>92</v>
      </c>
      <c r="C83" t="s">
        <v>73</v>
      </c>
      <c r="D83" t="s">
        <v>74</v>
      </c>
    </row>
    <row r="84" spans="1:4">
      <c r="A84" s="15">
        <v>82</v>
      </c>
      <c r="B84">
        <v>235</v>
      </c>
      <c r="C84" t="s">
        <v>74</v>
      </c>
      <c r="D84" t="s">
        <v>74</v>
      </c>
    </row>
    <row r="85" spans="1:4">
      <c r="A85" s="15">
        <v>83</v>
      </c>
      <c r="B85">
        <v>162</v>
      </c>
      <c r="C85" t="s">
        <v>73</v>
      </c>
      <c r="D85" t="s">
        <v>74</v>
      </c>
    </row>
    <row r="86" spans="1:4">
      <c r="A86" s="15">
        <v>84</v>
      </c>
      <c r="B86">
        <v>281</v>
      </c>
      <c r="C86" t="s">
        <v>73</v>
      </c>
      <c r="D86" t="s">
        <v>73</v>
      </c>
    </row>
    <row r="87" spans="1:4">
      <c r="A87" s="15">
        <v>85</v>
      </c>
      <c r="B87">
        <v>286</v>
      </c>
      <c r="C87" t="s">
        <v>74</v>
      </c>
      <c r="D87" t="s">
        <v>74</v>
      </c>
    </row>
    <row r="88" spans="1:4">
      <c r="A88" s="15">
        <v>86</v>
      </c>
      <c r="B88">
        <v>104</v>
      </c>
      <c r="C88" t="s">
        <v>74</v>
      </c>
      <c r="D88" t="s">
        <v>74</v>
      </c>
    </row>
    <row r="89" spans="1:4">
      <c r="A89" s="15">
        <v>87</v>
      </c>
      <c r="B89">
        <v>269</v>
      </c>
      <c r="C89" t="s">
        <v>73</v>
      </c>
      <c r="D89" t="s">
        <v>74</v>
      </c>
    </row>
    <row r="90" spans="1:4">
      <c r="A90" s="15">
        <v>88</v>
      </c>
      <c r="B90">
        <v>165</v>
      </c>
      <c r="C90" t="s">
        <v>73</v>
      </c>
      <c r="D90" t="s">
        <v>73</v>
      </c>
    </row>
    <row r="91" spans="1:4">
      <c r="A91" s="15">
        <v>89</v>
      </c>
      <c r="B91">
        <v>196</v>
      </c>
      <c r="C91" t="s">
        <v>73</v>
      </c>
      <c r="D91" t="s">
        <v>74</v>
      </c>
    </row>
    <row r="92" spans="1:4">
      <c r="A92" s="15">
        <v>90</v>
      </c>
      <c r="B92">
        <v>253</v>
      </c>
      <c r="C92" t="s">
        <v>73</v>
      </c>
      <c r="D92" t="s">
        <v>73</v>
      </c>
    </row>
  </sheetData>
  <mergeCells count="2">
    <mergeCell ref="K2:L2"/>
    <mergeCell ref="K13:L13"/>
  </mergeCell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B477-9295-425C-A93D-AE5D10C09C38}">
  <dimension ref="A1:K9"/>
  <sheetViews>
    <sheetView zoomScale="137" workbookViewId="0">
      <selection activeCell="E17" sqref="E17"/>
    </sheetView>
  </sheetViews>
  <sheetFormatPr defaultRowHeight="14.4"/>
  <cols>
    <col min="1" max="1" width="2.88671875" customWidth="1"/>
    <col min="2" max="2" width="15.21875" bestFit="1" customWidth="1"/>
    <col min="3" max="3" width="15.6640625" bestFit="1" customWidth="1"/>
    <col min="4" max="4" width="5.21875" customWidth="1"/>
    <col min="5" max="5" width="98.44140625" bestFit="1" customWidth="1"/>
  </cols>
  <sheetData>
    <row r="1" spans="1:11" s="17" customFormat="1">
      <c r="A1"/>
      <c r="B1" s="15" t="s">
        <v>90</v>
      </c>
      <c r="C1" s="15" t="s">
        <v>105</v>
      </c>
      <c r="D1" s="18" t="s">
        <v>96</v>
      </c>
      <c r="E1" s="39" t="s">
        <v>106</v>
      </c>
    </row>
    <row r="2" spans="1:11">
      <c r="A2" s="15">
        <v>6</v>
      </c>
      <c r="B2" t="s">
        <v>78</v>
      </c>
      <c r="C2" s="6">
        <v>0.53357814850017582</v>
      </c>
      <c r="D2" s="6">
        <v>0.68</v>
      </c>
      <c r="E2" t="s">
        <v>197</v>
      </c>
      <c r="F2" s="16"/>
      <c r="G2" s="16"/>
      <c r="H2" s="16"/>
      <c r="I2" s="16"/>
      <c r="J2" s="16"/>
      <c r="K2" s="16"/>
    </row>
    <row r="3" spans="1:11">
      <c r="A3" s="15">
        <v>1</v>
      </c>
      <c r="B3" t="s">
        <v>14</v>
      </c>
      <c r="C3" s="6">
        <v>0.27245594884018293</v>
      </c>
      <c r="D3" s="6">
        <v>0.33</v>
      </c>
      <c r="E3" t="s">
        <v>198</v>
      </c>
      <c r="F3" s="16"/>
      <c r="G3" s="16"/>
      <c r="H3" s="16"/>
      <c r="I3" s="16"/>
      <c r="J3" s="16"/>
      <c r="K3" s="16"/>
    </row>
    <row r="4" spans="1:11">
      <c r="A4" s="15">
        <v>5</v>
      </c>
      <c r="B4" t="s">
        <v>50</v>
      </c>
      <c r="C4" s="6">
        <v>0.17417655693533751</v>
      </c>
      <c r="D4" s="6">
        <v>0.66</v>
      </c>
      <c r="E4" t="s">
        <v>199</v>
      </c>
    </row>
    <row r="5" spans="1:11">
      <c r="A5" s="15">
        <v>7</v>
      </c>
      <c r="B5" t="s">
        <v>205</v>
      </c>
      <c r="C5" s="6">
        <v>1.978934572430379E-2</v>
      </c>
      <c r="D5" s="6">
        <v>0.65</v>
      </c>
      <c r="E5" t="s">
        <v>200</v>
      </c>
    </row>
    <row r="6" spans="1:11">
      <c r="A6" s="15">
        <v>0</v>
      </c>
      <c r="B6" t="s">
        <v>1</v>
      </c>
      <c r="C6" s="6">
        <v>0</v>
      </c>
      <c r="D6" s="6">
        <v>0.32</v>
      </c>
      <c r="E6" t="s">
        <v>201</v>
      </c>
    </row>
    <row r="7" spans="1:11">
      <c r="A7" s="15">
        <v>2</v>
      </c>
      <c r="B7" t="s">
        <v>76</v>
      </c>
      <c r="C7" s="6">
        <v>0</v>
      </c>
      <c r="D7" s="6">
        <v>0.1</v>
      </c>
      <c r="E7" t="s">
        <v>202</v>
      </c>
    </row>
    <row r="8" spans="1:11">
      <c r="A8" s="15">
        <v>3</v>
      </c>
      <c r="B8" t="s">
        <v>4</v>
      </c>
      <c r="C8" s="6">
        <v>0</v>
      </c>
      <c r="D8" s="6">
        <v>0.11</v>
      </c>
      <c r="E8" t="s">
        <v>203</v>
      </c>
    </row>
    <row r="9" spans="1:11">
      <c r="A9" s="15">
        <v>4</v>
      </c>
      <c r="B9" t="s">
        <v>77</v>
      </c>
      <c r="C9" s="6">
        <v>0</v>
      </c>
      <c r="D9" s="6">
        <v>0.14000000000000001</v>
      </c>
      <c r="E9" t="s">
        <v>204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B1CD-8A4D-4405-8B19-BC80E562961D}">
  <dimension ref="A1:I9"/>
  <sheetViews>
    <sheetView zoomScale="165" workbookViewId="0">
      <selection activeCell="D14" sqref="D14"/>
    </sheetView>
  </sheetViews>
  <sheetFormatPr defaultColWidth="13.44140625" defaultRowHeight="14.4"/>
  <cols>
    <col min="1" max="1" width="14.77734375" bestFit="1" customWidth="1"/>
    <col min="2" max="2" width="16.21875" bestFit="1" customWidth="1"/>
    <col min="3" max="3" width="16.33203125" bestFit="1" customWidth="1"/>
    <col min="4" max="4" width="10.77734375" customWidth="1"/>
    <col min="5" max="5" width="5.88671875" customWidth="1"/>
    <col min="6" max="6" width="8.5546875" bestFit="1" customWidth="1"/>
    <col min="7" max="7" width="9.5546875" bestFit="1" customWidth="1"/>
    <col min="8" max="8" width="8.5546875" bestFit="1" customWidth="1"/>
    <col min="9" max="9" width="9.109375" bestFit="1" customWidth="1"/>
  </cols>
  <sheetData>
    <row r="1" spans="1:9" s="19" customFormat="1">
      <c r="A1" s="19" t="s">
        <v>97</v>
      </c>
      <c r="B1" s="19" t="s">
        <v>98</v>
      </c>
      <c r="C1" s="19" t="s">
        <v>102</v>
      </c>
      <c r="D1" s="19" t="s">
        <v>99</v>
      </c>
      <c r="E1" s="19" t="s">
        <v>86</v>
      </c>
      <c r="F1" s="19" t="s">
        <v>87</v>
      </c>
      <c r="G1" s="19" t="s">
        <v>100</v>
      </c>
      <c r="H1" s="19" t="s">
        <v>89</v>
      </c>
      <c r="I1" s="19" t="s">
        <v>101</v>
      </c>
    </row>
    <row r="2" spans="1:9">
      <c r="A2" s="26">
        <v>1</v>
      </c>
      <c r="B2" s="26">
        <v>30</v>
      </c>
      <c r="C2" s="26">
        <v>30</v>
      </c>
      <c r="D2" s="26">
        <v>6</v>
      </c>
      <c r="E2" s="26">
        <v>64</v>
      </c>
      <c r="F2" s="26">
        <v>73</v>
      </c>
      <c r="G2" s="26">
        <v>73</v>
      </c>
      <c r="H2" s="26">
        <v>68</v>
      </c>
      <c r="I2" s="26">
        <v>8</v>
      </c>
    </row>
    <row r="3" spans="1:9">
      <c r="A3" s="26">
        <v>2</v>
      </c>
      <c r="B3" s="26">
        <v>30</v>
      </c>
      <c r="C3" s="26">
        <v>20</v>
      </c>
      <c r="D3" s="26">
        <v>5</v>
      </c>
      <c r="E3" s="26">
        <v>76</v>
      </c>
      <c r="F3" s="26">
        <v>67</v>
      </c>
      <c r="G3" s="26">
        <v>71</v>
      </c>
      <c r="H3" s="26">
        <v>71</v>
      </c>
      <c r="I3" s="26">
        <v>8</v>
      </c>
    </row>
    <row r="4" spans="1:9">
      <c r="A4" s="26">
        <v>3</v>
      </c>
      <c r="B4" s="26">
        <v>20</v>
      </c>
      <c r="C4" s="26">
        <v>20</v>
      </c>
      <c r="D4" s="26">
        <v>5</v>
      </c>
      <c r="E4" s="26">
        <v>64</v>
      </c>
      <c r="F4" s="26">
        <v>73</v>
      </c>
      <c r="G4" s="26">
        <v>73</v>
      </c>
      <c r="H4" s="26">
        <v>68</v>
      </c>
      <c r="I4" s="26">
        <v>8</v>
      </c>
    </row>
    <row r="5" spans="1:9">
      <c r="A5" s="28">
        <v>4</v>
      </c>
      <c r="B5" s="28">
        <v>30</v>
      </c>
      <c r="C5" s="28">
        <v>20</v>
      </c>
      <c r="D5" s="28">
        <v>5</v>
      </c>
      <c r="E5" s="28">
        <v>76</v>
      </c>
      <c r="F5" s="28">
        <v>67</v>
      </c>
      <c r="G5" s="28">
        <v>71</v>
      </c>
      <c r="H5" s="28">
        <v>71</v>
      </c>
      <c r="I5" s="28">
        <v>7</v>
      </c>
    </row>
    <row r="6" spans="1:9">
      <c r="A6" s="26">
        <v>5</v>
      </c>
      <c r="B6" s="26">
        <v>20</v>
      </c>
      <c r="C6" s="26">
        <v>30</v>
      </c>
      <c r="D6" s="26">
        <v>5</v>
      </c>
      <c r="E6" s="26">
        <v>64</v>
      </c>
      <c r="F6" s="26">
        <v>73</v>
      </c>
      <c r="G6" s="26">
        <v>73</v>
      </c>
      <c r="H6" s="26">
        <v>68</v>
      </c>
      <c r="I6" s="26">
        <v>7</v>
      </c>
    </row>
    <row r="7" spans="1:9">
      <c r="A7">
        <v>6</v>
      </c>
      <c r="B7">
        <v>20</v>
      </c>
      <c r="C7">
        <v>20</v>
      </c>
      <c r="D7">
        <v>5</v>
      </c>
      <c r="E7">
        <v>76</v>
      </c>
      <c r="F7">
        <v>67</v>
      </c>
      <c r="G7">
        <v>73</v>
      </c>
      <c r="H7">
        <v>68</v>
      </c>
      <c r="I7">
        <v>7</v>
      </c>
    </row>
    <row r="8" spans="1:9">
      <c r="A8">
        <v>7</v>
      </c>
      <c r="B8">
        <v>30</v>
      </c>
      <c r="C8">
        <v>20</v>
      </c>
      <c r="D8">
        <v>5</v>
      </c>
      <c r="E8">
        <v>57</v>
      </c>
      <c r="F8">
        <v>69</v>
      </c>
      <c r="G8">
        <v>68</v>
      </c>
      <c r="H8">
        <v>62</v>
      </c>
      <c r="I8">
        <v>6</v>
      </c>
    </row>
    <row r="9" spans="1:9">
      <c r="A9">
        <v>8</v>
      </c>
      <c r="B9">
        <v>30</v>
      </c>
      <c r="C9" s="25" t="s">
        <v>103</v>
      </c>
      <c r="D9">
        <v>5</v>
      </c>
      <c r="E9">
        <v>57</v>
      </c>
      <c r="F9">
        <v>69</v>
      </c>
      <c r="G9">
        <v>68</v>
      </c>
      <c r="H9">
        <v>62</v>
      </c>
      <c r="I9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B296-6B6B-4868-B517-E3BE565E76E6}">
  <dimension ref="A1:I9"/>
  <sheetViews>
    <sheetView zoomScale="163" workbookViewId="0">
      <selection activeCell="L9" sqref="L9"/>
    </sheetView>
  </sheetViews>
  <sheetFormatPr defaultRowHeight="14.4"/>
  <cols>
    <col min="1" max="1" width="10.109375" style="11" bestFit="1" customWidth="1"/>
    <col min="2" max="2" width="5.21875" bestFit="1" customWidth="1"/>
    <col min="3" max="3" width="7.77734375" bestFit="1" customWidth="1"/>
    <col min="4" max="4" width="7.88671875" bestFit="1" customWidth="1"/>
    <col min="5" max="5" width="10.109375" bestFit="1" customWidth="1"/>
    <col min="6" max="6" width="4.5546875" bestFit="1" customWidth="1"/>
    <col min="7" max="7" width="10.88671875" bestFit="1" customWidth="1"/>
    <col min="8" max="8" width="11" bestFit="1" customWidth="1"/>
    <col min="9" max="9" width="8.6640625" bestFit="1" customWidth="1"/>
  </cols>
  <sheetData>
    <row r="1" spans="1:9" s="27" customFormat="1">
      <c r="A1" s="24"/>
      <c r="B1" s="24" t="s">
        <v>1</v>
      </c>
      <c r="C1" s="24" t="s">
        <v>14</v>
      </c>
      <c r="D1" s="24" t="s">
        <v>76</v>
      </c>
      <c r="E1" s="24" t="s">
        <v>4</v>
      </c>
      <c r="F1" s="24" t="s">
        <v>77</v>
      </c>
      <c r="G1" s="24" t="s">
        <v>50</v>
      </c>
      <c r="H1" s="24" t="s">
        <v>78</v>
      </c>
      <c r="I1" s="24" t="s">
        <v>79</v>
      </c>
    </row>
    <row r="2" spans="1:9">
      <c r="A2" s="20" t="s">
        <v>1</v>
      </c>
      <c r="B2" s="22">
        <v>1</v>
      </c>
      <c r="C2" s="22"/>
      <c r="D2" s="22"/>
      <c r="E2" s="22"/>
      <c r="F2" s="22"/>
      <c r="G2" s="22"/>
      <c r="H2" s="22"/>
      <c r="I2" s="20"/>
    </row>
    <row r="3" spans="1:9">
      <c r="A3" s="20" t="s">
        <v>14</v>
      </c>
      <c r="B3" s="22">
        <v>-5.4056197876643924E-2</v>
      </c>
      <c r="C3" s="22">
        <v>1</v>
      </c>
      <c r="D3" s="22"/>
      <c r="E3" s="22"/>
      <c r="F3" s="22"/>
      <c r="G3" s="22"/>
      <c r="H3" s="22"/>
      <c r="I3" s="20"/>
    </row>
    <row r="4" spans="1:9">
      <c r="A4" s="20" t="s">
        <v>76</v>
      </c>
      <c r="B4" s="22">
        <v>0.22221622207779512</v>
      </c>
      <c r="C4" s="22">
        <v>-6.6690021396085333E-2</v>
      </c>
      <c r="D4" s="22">
        <v>1</v>
      </c>
      <c r="E4" s="22"/>
      <c r="F4" s="22"/>
      <c r="G4" s="22"/>
      <c r="H4" s="22"/>
      <c r="I4" s="20"/>
    </row>
    <row r="5" spans="1:9">
      <c r="A5" s="20" t="s">
        <v>4</v>
      </c>
      <c r="B5" s="22">
        <v>8.587709486096802E-2</v>
      </c>
      <c r="C5" s="22">
        <v>6.671840308451428E-2</v>
      </c>
      <c r="D5" s="22">
        <v>0.14590512730893651</v>
      </c>
      <c r="E5" s="22">
        <v>1</v>
      </c>
      <c r="F5" s="22"/>
      <c r="G5" s="22"/>
      <c r="H5" s="22"/>
      <c r="I5" s="20"/>
    </row>
    <row r="6" spans="1:9">
      <c r="A6" s="20" t="s">
        <v>77</v>
      </c>
      <c r="B6" s="22">
        <v>0.11173175310741734</v>
      </c>
      <c r="C6" s="22">
        <v>-2.1721363550790837E-2</v>
      </c>
      <c r="D6" s="22">
        <v>0.17709246792772357</v>
      </c>
      <c r="E6" s="22">
        <v>0.11547012191825051</v>
      </c>
      <c r="F6" s="22">
        <v>1</v>
      </c>
      <c r="G6" s="22"/>
      <c r="H6" s="22"/>
      <c r="I6" s="20"/>
    </row>
    <row r="7" spans="1:9">
      <c r="A7" s="20" t="s">
        <v>50</v>
      </c>
      <c r="B7" s="22">
        <v>0.21129747290897127</v>
      </c>
      <c r="C7" s="22">
        <v>4.2779639526316374E-2</v>
      </c>
      <c r="D7" s="22">
        <v>4.5269469827715236E-2</v>
      </c>
      <c r="E7" s="22">
        <v>5.9376959123532108E-2</v>
      </c>
      <c r="F7" s="22">
        <v>0.1728035994756395</v>
      </c>
      <c r="G7" s="22">
        <v>1</v>
      </c>
      <c r="H7" s="22"/>
      <c r="I7" s="20"/>
    </row>
    <row r="8" spans="1:9">
      <c r="A8" s="20" t="s">
        <v>78</v>
      </c>
      <c r="B8" s="22">
        <v>0.1415441954168761</v>
      </c>
      <c r="C8" s="22">
        <v>0.11757824895187192</v>
      </c>
      <c r="D8" s="22">
        <v>0.10564411304424827</v>
      </c>
      <c r="E8" s="22">
        <v>-3.2511038838453292E-2</v>
      </c>
      <c r="F8" s="22">
        <v>0.14943537671217319</v>
      </c>
      <c r="G8" s="22">
        <v>0.22868472271040435</v>
      </c>
      <c r="H8" s="22">
        <v>1</v>
      </c>
      <c r="I8" s="20"/>
    </row>
    <row r="9" spans="1:9" ht="15" thickBot="1">
      <c r="A9" s="21" t="s">
        <v>79</v>
      </c>
      <c r="B9" s="23">
        <v>0.14431475042112835</v>
      </c>
      <c r="C9" s="23">
        <v>1.7442373470795261E-2</v>
      </c>
      <c r="D9" s="23">
        <v>4.5452107875541804E-2</v>
      </c>
      <c r="E9" s="23">
        <v>1.3562381734126976E-2</v>
      </c>
      <c r="F9" s="23">
        <v>0.16376542871436847</v>
      </c>
      <c r="G9" s="23">
        <v>0.39375044379461371</v>
      </c>
      <c r="H9" s="23">
        <v>0.38429708407693053</v>
      </c>
      <c r="I9" s="21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0C5-0E88-4EB0-B118-970404C283D8}">
  <dimension ref="A1:I188"/>
  <sheetViews>
    <sheetView tabSelected="1" zoomScale="120" zoomScaleNormal="120" workbookViewId="0">
      <selection activeCell="A130" sqref="A130"/>
    </sheetView>
  </sheetViews>
  <sheetFormatPr defaultRowHeight="14.4"/>
  <sheetData>
    <row r="1" spans="1:7" ht="31.2">
      <c r="A1" s="42" t="s">
        <v>187</v>
      </c>
      <c r="B1" s="42"/>
      <c r="C1" s="42"/>
      <c r="D1" s="42"/>
      <c r="E1" s="42"/>
      <c r="F1" s="42"/>
      <c r="G1" s="42"/>
    </row>
    <row r="3" spans="1:7" ht="23.4">
      <c r="A3" s="43" t="s">
        <v>107</v>
      </c>
      <c r="B3" s="43"/>
      <c r="C3" s="43"/>
      <c r="D3" s="43"/>
    </row>
    <row r="5" spans="1:7">
      <c r="A5" t="s">
        <v>184</v>
      </c>
    </row>
    <row r="6" spans="1:7">
      <c r="A6" t="s">
        <v>186</v>
      </c>
    </row>
    <row r="7" spans="1:7">
      <c r="A7" t="s">
        <v>185</v>
      </c>
    </row>
    <row r="9" spans="1:7" ht="23.4">
      <c r="A9" s="29"/>
      <c r="B9" s="29"/>
      <c r="C9" s="29"/>
    </row>
    <row r="11" spans="1:7">
      <c r="A11" t="s">
        <v>108</v>
      </c>
    </row>
    <row r="13" spans="1:7" ht="18">
      <c r="A13" s="30" t="s">
        <v>109</v>
      </c>
    </row>
    <row r="14" spans="1:7">
      <c r="A14" s="32" t="s">
        <v>110</v>
      </c>
    </row>
    <row r="16" spans="1:7">
      <c r="A16" s="34" t="s">
        <v>111</v>
      </c>
    </row>
    <row r="17" spans="1:3">
      <c r="A17" s="33"/>
    </row>
    <row r="18" spans="1:3">
      <c r="A18" s="34" t="s">
        <v>112</v>
      </c>
    </row>
    <row r="20" spans="1:3" ht="18" customHeight="1">
      <c r="A20" s="44" t="s">
        <v>188</v>
      </c>
      <c r="B20" s="44"/>
      <c r="C20" s="38"/>
    </row>
    <row r="21" spans="1:3">
      <c r="A21" s="31"/>
    </row>
    <row r="22" spans="1:3">
      <c r="A22" s="31" t="s">
        <v>113</v>
      </c>
    </row>
    <row r="23" spans="1:3">
      <c r="A23" s="31" t="s">
        <v>114</v>
      </c>
    </row>
    <row r="24" spans="1:3">
      <c r="A24" s="31" t="s">
        <v>115</v>
      </c>
    </row>
    <row r="25" spans="1:3">
      <c r="A25" s="31" t="s">
        <v>116</v>
      </c>
    </row>
    <row r="26" spans="1:3">
      <c r="A26" s="31" t="s">
        <v>117</v>
      </c>
    </row>
    <row r="27" spans="1:3">
      <c r="A27" s="31" t="s">
        <v>118</v>
      </c>
    </row>
    <row r="28" spans="1:3">
      <c r="A28" s="31" t="s">
        <v>189</v>
      </c>
    </row>
    <row r="29" spans="1:3">
      <c r="A29" s="31" t="s">
        <v>206</v>
      </c>
    </row>
    <row r="31" spans="1:3" ht="23.4">
      <c r="A31" s="29" t="s">
        <v>119</v>
      </c>
    </row>
    <row r="33" spans="1:1">
      <c r="A33" t="s">
        <v>120</v>
      </c>
    </row>
    <row r="35" spans="1:1" ht="18">
      <c r="A35" s="30" t="s">
        <v>121</v>
      </c>
    </row>
    <row r="36" spans="1:1">
      <c r="A36" s="31"/>
    </row>
    <row r="37" spans="1:1">
      <c r="A37" s="32" t="s">
        <v>122</v>
      </c>
    </row>
    <row r="38" spans="1:1">
      <c r="A38" s="31"/>
    </row>
    <row r="39" spans="1:1">
      <c r="A39" s="32" t="s">
        <v>123</v>
      </c>
    </row>
    <row r="41" spans="1:1">
      <c r="A41" t="s">
        <v>124</v>
      </c>
    </row>
    <row r="44" spans="1:1" ht="23.4">
      <c r="A44" s="29" t="s">
        <v>125</v>
      </c>
    </row>
    <row r="46" spans="1:1">
      <c r="A46" t="s">
        <v>193</v>
      </c>
    </row>
    <row r="48" spans="1:1" ht="18">
      <c r="A48" s="30" t="s">
        <v>126</v>
      </c>
    </row>
    <row r="49" spans="1:1">
      <c r="A49" s="31"/>
    </row>
    <row r="50" spans="1:1">
      <c r="A50" s="31" t="s">
        <v>127</v>
      </c>
    </row>
    <row r="51" spans="1:1">
      <c r="A51" s="31"/>
    </row>
    <row r="52" spans="1:1">
      <c r="A52" s="31" t="s">
        <v>128</v>
      </c>
    </row>
    <row r="53" spans="1:1">
      <c r="A53" s="31"/>
    </row>
    <row r="54" spans="1:1">
      <c r="A54" s="31" t="s">
        <v>129</v>
      </c>
    </row>
    <row r="55" spans="1:1">
      <c r="A55" s="31"/>
    </row>
    <row r="56" spans="1:1">
      <c r="A56" s="31" t="s">
        <v>130</v>
      </c>
    </row>
    <row r="59" spans="1:1" ht="23.4">
      <c r="A59" s="29" t="s">
        <v>131</v>
      </c>
    </row>
    <row r="61" spans="1:1">
      <c r="A61" t="s">
        <v>132</v>
      </c>
    </row>
    <row r="63" spans="1:1" ht="18">
      <c r="A63" s="30" t="s">
        <v>133</v>
      </c>
    </row>
    <row r="64" spans="1:1">
      <c r="A64" s="31"/>
    </row>
    <row r="65" spans="1:3">
      <c r="A65" s="31" t="s">
        <v>194</v>
      </c>
    </row>
    <row r="66" spans="1:3">
      <c r="A66" s="31"/>
    </row>
    <row r="67" spans="1:3">
      <c r="A67" s="31" t="s">
        <v>134</v>
      </c>
    </row>
    <row r="69" spans="1:3" ht="18">
      <c r="A69" s="30" t="s">
        <v>135</v>
      </c>
    </row>
    <row r="70" spans="1:3">
      <c r="A70" s="31"/>
    </row>
    <row r="71" spans="1:3">
      <c r="A71" s="31" t="s">
        <v>136</v>
      </c>
    </row>
    <row r="72" spans="1:3">
      <c r="A72" s="31"/>
    </row>
    <row r="73" spans="1:3">
      <c r="A73" s="31" t="s">
        <v>137</v>
      </c>
    </row>
    <row r="75" spans="1:3">
      <c r="A75" t="s">
        <v>138</v>
      </c>
    </row>
    <row r="77" spans="1:3">
      <c r="A77" s="36"/>
      <c r="B77" s="36"/>
      <c r="C77" s="36"/>
    </row>
    <row r="78" spans="1:3" ht="23.4">
      <c r="A78" s="29" t="s">
        <v>139</v>
      </c>
    </row>
    <row r="80" spans="1:3">
      <c r="A80" t="s">
        <v>140</v>
      </c>
    </row>
    <row r="82" spans="1:1" ht="18">
      <c r="A82" s="30" t="s">
        <v>141</v>
      </c>
    </row>
    <row r="83" spans="1:1">
      <c r="A83" s="31"/>
    </row>
    <row r="84" spans="1:1">
      <c r="A84" s="31" t="s">
        <v>142</v>
      </c>
    </row>
    <row r="85" spans="1:1">
      <c r="A85" s="31"/>
    </row>
    <row r="86" spans="1:1">
      <c r="A86" s="31" t="s">
        <v>143</v>
      </c>
    </row>
    <row r="87" spans="1:1">
      <c r="A87" s="31"/>
    </row>
    <row r="88" spans="1:1">
      <c r="A88" s="33" t="s">
        <v>144</v>
      </c>
    </row>
    <row r="89" spans="1:1">
      <c r="A89" s="33"/>
    </row>
    <row r="90" spans="1:1">
      <c r="A90" s="33" t="s">
        <v>145</v>
      </c>
    </row>
    <row r="92" spans="1:1">
      <c r="A92" t="s">
        <v>146</v>
      </c>
    </row>
    <row r="95" spans="1:1" ht="23.4">
      <c r="A95" s="29" t="s">
        <v>147</v>
      </c>
    </row>
    <row r="97" spans="1:1">
      <c r="A97" t="s">
        <v>148</v>
      </c>
    </row>
    <row r="99" spans="1:1" ht="18">
      <c r="A99" s="30" t="s">
        <v>149</v>
      </c>
    </row>
    <row r="100" spans="1:1">
      <c r="A100" s="31"/>
    </row>
    <row r="101" spans="1:1">
      <c r="A101" s="32" t="s">
        <v>150</v>
      </c>
    </row>
    <row r="102" spans="1:1">
      <c r="A102" s="31"/>
    </row>
    <row r="103" spans="1:1">
      <c r="A103" s="32" t="s">
        <v>151</v>
      </c>
    </row>
    <row r="104" spans="1:1">
      <c r="A104" s="31"/>
    </row>
    <row r="105" spans="1:1">
      <c r="A105" s="32" t="s">
        <v>152</v>
      </c>
    </row>
    <row r="108" spans="1:1" ht="23.4">
      <c r="A108" s="29" t="s">
        <v>153</v>
      </c>
    </row>
    <row r="110" spans="1:1">
      <c r="A110" t="s">
        <v>154</v>
      </c>
    </row>
    <row r="112" spans="1:1" ht="18">
      <c r="A112" s="30" t="s">
        <v>155</v>
      </c>
    </row>
    <row r="114" spans="1:9" ht="28.8">
      <c r="A114" s="35" t="s">
        <v>156</v>
      </c>
      <c r="B114" s="35" t="s">
        <v>157</v>
      </c>
      <c r="C114" s="35" t="s">
        <v>158</v>
      </c>
      <c r="D114" s="35" t="s">
        <v>150</v>
      </c>
      <c r="E114" s="35" t="s">
        <v>86</v>
      </c>
      <c r="F114" s="35" t="s">
        <v>87</v>
      </c>
      <c r="G114" s="35" t="s">
        <v>88</v>
      </c>
      <c r="H114" s="35" t="s">
        <v>159</v>
      </c>
      <c r="I114" s="35" t="s">
        <v>90</v>
      </c>
    </row>
    <row r="115" spans="1:9">
      <c r="A115" s="36">
        <v>1</v>
      </c>
      <c r="B115" s="36">
        <v>30</v>
      </c>
      <c r="C115" s="36">
        <v>30</v>
      </c>
      <c r="D115" s="36">
        <v>6</v>
      </c>
      <c r="E115" s="37">
        <v>0.64</v>
      </c>
      <c r="F115" s="37">
        <v>0.73</v>
      </c>
      <c r="G115" s="37">
        <v>0.73</v>
      </c>
      <c r="H115" s="37">
        <v>0.68</v>
      </c>
      <c r="I115" s="36">
        <v>8</v>
      </c>
    </row>
    <row r="116" spans="1:9">
      <c r="A116" s="36">
        <v>2</v>
      </c>
      <c r="B116" s="36">
        <v>30</v>
      </c>
      <c r="C116" s="36">
        <v>20</v>
      </c>
      <c r="D116" s="36">
        <v>5</v>
      </c>
      <c r="E116" s="37">
        <v>0.76</v>
      </c>
      <c r="F116" s="37">
        <v>0.67</v>
      </c>
      <c r="G116" s="37">
        <v>0.71</v>
      </c>
      <c r="H116" s="37">
        <v>0.71</v>
      </c>
      <c r="I116" s="36">
        <v>8</v>
      </c>
    </row>
    <row r="117" spans="1:9">
      <c r="A117" s="36" t="s">
        <v>192</v>
      </c>
      <c r="B117" s="36">
        <v>30</v>
      </c>
      <c r="C117" s="36">
        <v>20</v>
      </c>
      <c r="D117" s="36">
        <v>5</v>
      </c>
      <c r="E117" s="37">
        <v>0.76</v>
      </c>
      <c r="F117" s="37">
        <v>0.67</v>
      </c>
      <c r="G117" s="37">
        <v>0.71</v>
      </c>
      <c r="H117" s="37">
        <v>0.71</v>
      </c>
      <c r="I117" s="36">
        <v>7</v>
      </c>
    </row>
    <row r="119" spans="1:9" ht="18">
      <c r="A119" s="30" t="s">
        <v>160</v>
      </c>
    </row>
    <row r="120" spans="1:9">
      <c r="A120" s="31"/>
    </row>
    <row r="121" spans="1:9">
      <c r="A121" s="31" t="s">
        <v>161</v>
      </c>
    </row>
    <row r="122" spans="1:9">
      <c r="A122" s="31"/>
    </row>
    <row r="123" spans="1:9">
      <c r="A123" s="31" t="s">
        <v>162</v>
      </c>
    </row>
    <row r="124" spans="1:9">
      <c r="A124" s="31"/>
    </row>
    <row r="125" spans="1:9">
      <c r="A125" s="31" t="s">
        <v>163</v>
      </c>
    </row>
    <row r="126" spans="1:9">
      <c r="A126" s="31"/>
    </row>
    <row r="127" spans="1:9">
      <c r="A127" s="31" t="s">
        <v>164</v>
      </c>
    </row>
    <row r="130" spans="1:1" ht="23.4">
      <c r="A130" s="29" t="s">
        <v>165</v>
      </c>
    </row>
    <row r="132" spans="1:1" ht="18">
      <c r="A132" s="30" t="s">
        <v>166</v>
      </c>
    </row>
    <row r="133" spans="1:1">
      <c r="A133" s="31"/>
    </row>
    <row r="134" spans="1:1">
      <c r="A134" s="31" t="s">
        <v>167</v>
      </c>
    </row>
    <row r="135" spans="1:1">
      <c r="A135" s="31"/>
    </row>
    <row r="136" spans="1:1">
      <c r="A136" s="31" t="s">
        <v>168</v>
      </c>
    </row>
    <row r="137" spans="1:1">
      <c r="A137" s="31"/>
    </row>
    <row r="138" spans="1:1">
      <c r="A138" s="31" t="s">
        <v>169</v>
      </c>
    </row>
    <row r="139" spans="1:1">
      <c r="A139" s="31"/>
    </row>
    <row r="140" spans="1:1">
      <c r="A140" s="31" t="s">
        <v>170</v>
      </c>
    </row>
    <row r="142" spans="1:1" ht="18">
      <c r="A142" s="30" t="s">
        <v>171</v>
      </c>
    </row>
    <row r="143" spans="1:1">
      <c r="A143" s="31"/>
    </row>
    <row r="144" spans="1:1">
      <c r="A144" s="32" t="s">
        <v>172</v>
      </c>
    </row>
    <row r="145" spans="1:1">
      <c r="A145" s="31"/>
    </row>
    <row r="146" spans="1:1">
      <c r="A146" s="32" t="s">
        <v>173</v>
      </c>
    </row>
    <row r="147" spans="1:1">
      <c r="A147" s="31"/>
    </row>
    <row r="148" spans="1:1">
      <c r="A148" s="32" t="s">
        <v>174</v>
      </c>
    </row>
    <row r="149" spans="1:1">
      <c r="A149" s="31"/>
    </row>
    <row r="150" spans="1:1">
      <c r="A150" s="32" t="s">
        <v>175</v>
      </c>
    </row>
    <row r="152" spans="1:1">
      <c r="A152" s="11" t="s">
        <v>176</v>
      </c>
    </row>
    <row r="153" spans="1:1">
      <c r="A153" t="s">
        <v>177</v>
      </c>
    </row>
    <row r="156" spans="1:1" ht="23.4">
      <c r="A156" s="29" t="s">
        <v>178</v>
      </c>
    </row>
    <row r="157" spans="1:1">
      <c r="A157" s="31"/>
    </row>
    <row r="158" spans="1:1">
      <c r="A158" s="32" t="s">
        <v>179</v>
      </c>
    </row>
    <row r="159" spans="1:1">
      <c r="A159" s="31"/>
    </row>
    <row r="160" spans="1:1">
      <c r="A160" s="32" t="s">
        <v>207</v>
      </c>
    </row>
    <row r="161" spans="1:1">
      <c r="A161" s="31"/>
    </row>
    <row r="162" spans="1:1">
      <c r="A162" s="32" t="s">
        <v>180</v>
      </c>
    </row>
    <row r="163" spans="1:1">
      <c r="A163" s="31"/>
    </row>
    <row r="164" spans="1:1">
      <c r="A164" s="32" t="s">
        <v>181</v>
      </c>
    </row>
    <row r="167" spans="1:1" ht="23.4">
      <c r="A167" s="29" t="s">
        <v>182</v>
      </c>
    </row>
    <row r="169" spans="1:1">
      <c r="A169" t="s">
        <v>190</v>
      </c>
    </row>
    <row r="170" spans="1:1">
      <c r="A170" t="s">
        <v>191</v>
      </c>
    </row>
    <row r="173" spans="1:1">
      <c r="A173" s="11" t="s">
        <v>183</v>
      </c>
    </row>
    <row r="174" spans="1:1" ht="12.6" customHeight="1">
      <c r="A174" s="11"/>
    </row>
    <row r="176" spans="1:1" ht="23.4">
      <c r="A176" s="29" t="s">
        <v>196</v>
      </c>
    </row>
    <row r="177" spans="1:1" ht="12.6" customHeight="1">
      <c r="A177" s="29"/>
    </row>
    <row r="178" spans="1:1">
      <c r="A178" t="s">
        <v>195</v>
      </c>
    </row>
    <row r="181" spans="1:1">
      <c r="A181" s="31"/>
    </row>
    <row r="182" spans="1:1">
      <c r="A182" s="31"/>
    </row>
    <row r="183" spans="1:1">
      <c r="A183" s="31"/>
    </row>
    <row r="184" spans="1:1">
      <c r="A184" s="31"/>
    </row>
    <row r="185" spans="1:1">
      <c r="A185" s="31"/>
    </row>
    <row r="186" spans="1:1">
      <c r="A186" s="31"/>
    </row>
    <row r="187" spans="1:1">
      <c r="A187" s="31"/>
    </row>
    <row r="188" spans="1:1">
      <c r="A188" s="31"/>
    </row>
  </sheetData>
  <mergeCells count="3">
    <mergeCell ref="A1:G1"/>
    <mergeCell ref="A3:D3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main_file</vt:lpstr>
      <vt:lpstr>pivot_Table</vt:lpstr>
      <vt:lpstr>weight_of_evidence</vt:lpstr>
      <vt:lpstr>Confusion_Matrix</vt:lpstr>
      <vt:lpstr>important_feature</vt:lpstr>
      <vt:lpstr>model_iteration</vt:lpstr>
      <vt:lpstr>correlation</vt:lpstr>
      <vt:lpstr>project_report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91788</dc:creator>
  <cp:lastModifiedBy>91788</cp:lastModifiedBy>
  <dcterms:created xsi:type="dcterms:W3CDTF">2025-12-10T12:36:42Z</dcterms:created>
  <dcterms:modified xsi:type="dcterms:W3CDTF">2026-02-06T14:19:42Z</dcterms:modified>
</cp:coreProperties>
</file>